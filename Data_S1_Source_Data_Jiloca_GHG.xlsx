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1cb5528dc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062dfbb2fb14533"/>
    <x:sheet xmlns:r="http://schemas.openxmlformats.org/officeDocument/2006/relationships" name="Nodes" sheetId="2" r:id="Rfde04e68f4614e93"/>
    <x:sheet xmlns:r="http://schemas.openxmlformats.org/officeDocument/2006/relationships" name="Parameters" sheetId="3" r:id="R9ee03e506b4e4282"/>
    <x:sheet xmlns:r="http://schemas.openxmlformats.org/officeDocument/2006/relationships" name="Calculations" sheetId="4" r:id="R29698a1f4852410c"/>
    <x:sheet xmlns:r="http://schemas.openxmlformats.org/officeDocument/2006/relationships" name="Sectors" sheetId="5" r:id="R4ccc903b732b4133"/>
    <x:sheet xmlns:r="http://schemas.openxmlformats.org/officeDocument/2006/relationships" name="Sensitivity" sheetId="6" r:id="Rd577be56c2d84c42"/>
    <x:sheet xmlns:r="http://schemas.openxmlformats.org/officeDocument/2006/relationships" name="Scenario_bounds" sheetId="7" r:id="Rf4244339babe4cbb"/>
    <x:sheet xmlns:r="http://schemas.openxmlformats.org/officeDocument/2006/relationships" name="Heat_metric_sensitivity" sheetId="8" r:id="Raab412dcb3c44a1a"/>
    <x:sheet xmlns:r="http://schemas.openxmlformats.org/officeDocument/2006/relationships" name="Enteric_additive_scenarios" sheetId="9" r:id="Rf61b5a0dec3b4f9e"/>
    <x:sheet xmlns:r="http://schemas.openxmlformats.org/officeDocument/2006/relationships" name="Accounting" sheetId="10" r:id="R6c1b2efe8c1d401e"/>
    <x:sheet xmlns:r="http://schemas.openxmlformats.org/officeDocument/2006/relationships" name="Biogas_balance" sheetId="11" r:id="R9f77a08fcff94255"/>
    <x:sheet xmlns:r="http://schemas.openxmlformats.org/officeDocument/2006/relationships" name="Fibre_screen" sheetId="12" r:id="R5fe1b0a59f764bc3"/>
    <x:sheet xmlns:r="http://schemas.openxmlformats.org/officeDocument/2006/relationships" name="Sources" sheetId="13" r:id="R95d3d6119af7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%"/>
    <x:numFmt numFmtId="202" formatCode="#,##0.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71e378ab1a4527" /><Relationship Type="http://schemas.openxmlformats.org/officeDocument/2006/relationships/theme" Target="/xl/theme/theme1.xml" Id="R0a38e980e10f41f5" /><Relationship Type="http://schemas.openxmlformats.org/officeDocument/2006/relationships/sharedStrings" Target="/xl/sharedStrings.xml" Id="R7adc494f0da9443f" /><Relationship Type="http://schemas.openxmlformats.org/officeDocument/2006/relationships/worksheet" Target="/xl/worksheets/sheet1.xml" Id="R4062dfbb2fb14533" /><Relationship Type="http://schemas.openxmlformats.org/officeDocument/2006/relationships/worksheet" Target="/xl/worksheets/sheet2.xml" Id="Rfde04e68f4614e93" /><Relationship Type="http://schemas.openxmlformats.org/officeDocument/2006/relationships/worksheet" Target="/xl/worksheets/sheet3.xml" Id="R9ee03e506b4e4282" /><Relationship Type="http://schemas.openxmlformats.org/officeDocument/2006/relationships/worksheet" Target="/xl/worksheets/sheet4.xml" Id="R29698a1f4852410c" /><Relationship Type="http://schemas.openxmlformats.org/officeDocument/2006/relationships/worksheet" Target="/xl/worksheets/sheet5.xml" Id="R4ccc903b732b4133" /><Relationship Type="http://schemas.openxmlformats.org/officeDocument/2006/relationships/worksheet" Target="/xl/worksheets/sheet6.xml" Id="Rd577be56c2d84c42" /><Relationship Type="http://schemas.openxmlformats.org/officeDocument/2006/relationships/worksheet" Target="/xl/worksheets/sheet7.xml" Id="Rf4244339babe4cbb" /><Relationship Type="http://schemas.openxmlformats.org/officeDocument/2006/relationships/worksheet" Target="/xl/worksheets/sheet8.xml" Id="Raab412dcb3c44a1a" /><Relationship Type="http://schemas.openxmlformats.org/officeDocument/2006/relationships/worksheet" Target="/xl/worksheets/sheet9.xml" Id="Rf61b5a0dec3b4f9e" /><Relationship Type="http://schemas.openxmlformats.org/officeDocument/2006/relationships/worksheet" Target="/xl/worksheets/sheet10.xml" Id="R6c1b2efe8c1d401e" /><Relationship Type="http://schemas.openxmlformats.org/officeDocument/2006/relationships/worksheet" Target="/xl/worksheets/sheet11.xml" Id="R9f77a08fcff94255" /><Relationship Type="http://schemas.openxmlformats.org/officeDocument/2006/relationships/worksheet" Target="/xl/worksheets/sheet12.xml" Id="R5fe1b0a59f764bc3" /><Relationship Type="http://schemas.openxmlformats.org/officeDocument/2006/relationships/worksheet" Target="/xl/worksheets/sheet13.xml" Id="R95d3d6119af747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96" hidden="0" customWidth="1"/>
  </x:cols>
  <x:sheetData>
    <x:row r="1">
      <x:c r="A1" s="10" t="str">
        <x:v>Jiloca distributed-AI greenhouse-gas model — One Earth submission data</x:v>
      </x:c>
      <x:c r="B1" s="11"/>
    </x:row>
    <x:row r="3">
      <x:c r="A3" s="7" t="str">
        <x:v>Purpose</x:v>
      </x:c>
      <x:c r="B3" t="str">
        <x:v>Frozen Data S1 accompanying the One Earth submission.</x:v>
      </x:c>
    </x:row>
    <x:row r="4">
      <x:c r="A4" s="7" t="str">
        <x:v>Quantitative source of truth</x:v>
      </x:c>
      <x:c r="B4" t="str">
        <x:v>jiloca_ghg_model.py; this workbook mirrors its frozen parameters and 135 core calculations.</x:v>
      </x:c>
    </x:row>
    <x:row r="5">
      <x:c r="A5" s="7" t="str">
        <x:v>Primary siting metric</x:v>
      </x:c>
      <x:c r="B5" t="str">
        <x:v>45.1 ktCO2e/yr fossil-heat displacement; 80.6 kgCO2e per MWh of IT electricity.</x:v>
      </x:c>
    </x:row>
    <x:row r="6">
      <x:c r="A6" s="7" t="str">
        <x:v>Territorial result</x:v>
      </x:c>
      <x:c r="B6" t="str">
        <x:v>Boundary A: 113.9 → 36.6 ktCO2e/yr (67.9%).</x:v>
      </x:c>
    </x:row>
    <x:row r="7">
      <x:c r="A7" s="7" t="str">
        <x:v>Integrated programme screen</x:v>
      </x:c>
      <x:c r="B7" t="str">
        <x:v>Boundary A + consequential Boundary B: 218.2 → 66.1 ktCO2e/yr (69.7%); not a territorial inventory.</x:v>
      </x:c>
    </x:row>
    <x:row r="8">
      <x:c r="A8" s="7" t="str">
        <x:v>Central enteric-additive credit</x:v>
      </x:c>
      <x:c r="B8" t="str">
        <x:v>None. 3-NOP and Asparagopsis are reported as separate screening cases.</x:v>
      </x:c>
    </x:row>
    <x:row r="9">
      <x:c r="A9" s="7" t="str">
        <x:v>Biomethane-chain methane loss</x:v>
      </x:c>
      <x:c r="B9" t="str">
        <x:v>3% central for upgrading/compression/piping; sensitivity 1–6%.</x:v>
      </x:c>
    </x:row>
    <x:row r="10">
      <x:c r="A10" s="7" t="str">
        <x:v>Pig-slurry routing</x:v>
      </x:c>
      <x:c r="B10" t="str">
        <x:v>100% of collectable pig slurry centrally; sensitivity 30–100%.</x:v>
      </x:c>
    </x:row>
    <x:row r="11">
      <x:c r="A11" s="7" t="str">
        <x:v>Manure logistics</x:v>
      </x:c>
      <x:c r="B11" t="str">
        <x:v>20 km average one-way screening haul; renewable-diesel lifecycle intensity; farm-specific routes required before implementation.</x:v>
      </x:c>
    </x:row>
    <x:row r="12">
      <x:c r="A12" s="7" t="str">
        <x:v>Livestock data status</x:v>
      </x:c>
      <x:c r="B12" t="str">
        <x:v>Area-scaled 2009 comarca counts remain a screening proxy; replace with municipal REGA records before empirical baseline registration.</x:v>
      </x:c>
    </x:row>
    <x:row r="13">
      <x:c r="A13" s="7" t="str">
        <x:v>Heat-balance status</x:v>
      </x:c>
      <x:c r="B13" t="str">
        <x:v>Annual balance only. Note S2 of Document S1 gives an illustrative winter-peak screen; hourly/node-level dispatch remains required.</x:v>
      </x:c>
    </x:row>
    <x:row r="14">
      <x:c r="A14" s="7" t="str">
        <x:v>Interpretation</x:v>
      </x:c>
      <x:c r="B14" t="str">
        <x:v>Prospective deterministic screening model; no value is an achieved field outcome.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</x:cols>
  <x:sheetData>
    <x:row r="1">
      <x:c r="A1" s="14" t="str">
        <x:v>Node</x:v>
      </x:c>
      <x:c r="B1" s="14" t="str">
        <x:v>Residents</x:v>
      </x:c>
      <x:c r="C1" s="14" t="str">
        <x:v>IT MW</x:v>
      </x:c>
      <x:c r="D1" s="14" t="str">
        <x:v>Area km²</x:v>
      </x:c>
      <x:c r="E1" s="14" t="str">
        <x:v>Latitude</x:v>
      </x:c>
      <x:c r="F1" s="14" t="str">
        <x:v>Longitude</x:v>
      </x:c>
      <x:c r="G1" s="14" t="str">
        <x:v>Hydrological zone</x:v>
      </x:c>
    </x:row>
    <x:row r="2">
      <x:c r="A2" t="str">
        <x:v>Cella</x:v>
      </x:c>
      <x:c r="B2" t="n">
        <x:v>2702</x:v>
      </x:c>
      <x:c r="C2" t="n">
        <x:v>11.8</x:v>
      </x:c>
      <x:c r="D2" t="n">
        <x:v>124.68</x:v>
      </x:c>
      <x:c r="E2" t="n">
        <x:v>40.45</x:v>
      </x:c>
      <x:c r="F2" t="n">
        <x:v>-1.283333</x:v>
      </x:c>
      <x:c r="G2" t="str">
        <x:v>Fuente de Cella</x:v>
      </x:c>
    </x:row>
    <x:row r="3">
      <x:c r="A3" t="str">
        <x:v>Villarquemado</x:v>
      </x:c>
      <x:c r="B3" t="n">
        <x:v>901</x:v>
      </x:c>
      <x:c r="C3" t="n">
        <x:v>3.93</x:v>
      </x:c>
      <x:c r="D3" t="n">
        <x:v>56.43</x:v>
      </x:c>
      <x:c r="E3" t="n">
        <x:v>40.51768</x:v>
      </x:c>
      <x:c r="F3" t="n">
        <x:v>-1.26768</x:v>
      </x:c>
      <x:c r="G3" t="str">
        <x:v>Fuente de Cella</x:v>
      </x:c>
    </x:row>
    <x:row r="4">
      <x:c r="A4" t="str">
        <x:v>Santa Eulalia del Campo</x:v>
      </x:c>
      <x:c r="B4" t="n">
        <x:v>1004</x:v>
      </x:c>
      <x:c r="C4" t="n">
        <x:v>4.38</x:v>
      </x:c>
      <x:c r="D4" t="n">
        <x:v>80.97</x:v>
      </x:c>
      <x:c r="E4" t="n">
        <x:v>40.5667</x:v>
      </x:c>
      <x:c r="F4" t="n">
        <x:v>-1.3167</x:v>
      </x:c>
      <x:c r="G4" t="str">
        <x:v>Fuente de Cella</x:v>
      </x:c>
    </x:row>
    <x:row r="5">
      <x:c r="A5" t="str">
        <x:v>Torremocha–Torrelacárcel–Alba (shared node)</x:v>
      </x:c>
      <x:c r="B5" t="n">
        <x:v>432</x:v>
      </x:c>
      <x:c r="C5" t="n">
        <x:v>3.1</x:v>
      </x:c>
      <x:c r="D5" t="n">
        <x:v>139.01</x:v>
      </x:c>
      <x:c r="E5" t="n">
        <x:v>40.5905</x:v>
      </x:c>
      <x:c r="F5" t="n">
        <x:v>-1.2971</x:v>
      </x:c>
      <x:c r="G5" t="str">
        <x:v>Fuente de Cella</x:v>
      </x:c>
    </x:row>
    <x:row r="6">
      <x:c r="A6" t="str">
        <x:v>Singra (prototype)</x:v>
      </x:c>
      <x:c r="B6" t="n">
        <x:v>76</x:v>
      </x:c>
      <x:c r="C6" t="n">
        <x:v>1.02</x:v>
      </x:c>
      <x:c r="D6" t="n">
        <x:v>36.72</x:v>
      </x:c>
      <x:c r="E6" t="n">
        <x:v>40.655641</x:v>
      </x:c>
      <x:c r="F6" t="n">
        <x:v>-1.311867</x:v>
      </x:c>
      <x:c r="G6" t="str">
        <x:v>Fuente de Cella</x:v>
      </x:c>
    </x:row>
    <x:row r="7">
      <x:c r="A7" t="str">
        <x:v>Villafranca del Campo</x:v>
      </x:c>
      <x:c r="B7" t="n">
        <x:v>290</x:v>
      </x:c>
      <x:c r="C7" t="n">
        <x:v>1.27</x:v>
      </x:c>
      <x:c r="D7" t="n">
        <x:v>66.55</x:v>
      </x:c>
      <x:c r="E7" t="n">
        <x:v>40.694167</x:v>
      </x:c>
      <x:c r="F7" t="n">
        <x:v>-1.346111</x:v>
      </x:c>
      <x:c r="G7" t="str">
        <x:v>Fuente de Cella</x:v>
      </x:c>
    </x:row>
    <x:row r="8">
      <x:c r="A8" t="str">
        <x:v>Monreal del Campo</x:v>
      </x:c>
      <x:c r="B8" t="n">
        <x:v>2578</x:v>
      </x:c>
      <x:c r="C8" t="n">
        <x:v>11.26</x:v>
      </x:c>
      <x:c r="D8" t="n">
        <x:v>89.05</x:v>
      </x:c>
      <x:c r="E8" t="n">
        <x:v>40.789444</x:v>
      </x:c>
      <x:c r="F8" t="n">
        <x:v>-1.353611</x:v>
      </x:c>
      <x:c r="G8" t="str">
        <x:v>Ojos de Monreal</x:v>
      </x:c>
    </x:row>
    <x:row r="9">
      <x:c r="A9" t="str">
        <x:v>Torrijo del Campo</x:v>
      </x:c>
      <x:c r="B9" t="n">
        <x:v>501</x:v>
      </x:c>
      <x:c r="C9" t="n">
        <x:v>2.2</x:v>
      </x:c>
      <x:c r="D9" t="n">
        <x:v>44.04</x:v>
      </x:c>
      <x:c r="E9" t="n">
        <x:v>40.825</x:v>
      </x:c>
      <x:c r="F9" t="n">
        <x:v>-1.337778</x:v>
      </x:c>
      <x:c r="G9" t="str">
        <x:v>Ojos de Monreal</x:v>
      </x:c>
    </x:row>
    <x:row r="10">
      <x:c r="A10" t="str">
        <x:v>Caminreal</x:v>
      </x:c>
      <x:c r="B10" t="n">
        <x:v>617</x:v>
      </x:c>
      <x:c r="C10" t="n">
        <x:v>2.7</x:v>
      </x:c>
      <x:c r="D10" t="n">
        <x:v>44.39</x:v>
      </x:c>
      <x:c r="E10" t="n">
        <x:v>40.838611</x:v>
      </x:c>
      <x:c r="F10" t="n">
        <x:v>-1.320833</x:v>
      </x:c>
      <x:c r="G10" t="str">
        <x:v>Ojos de Caminreal–Jiloca</x:v>
      </x:c>
    </x:row>
    <x:row r="11">
      <x:c r="A11" t="str">
        <x:v>Fuentes Claras</x:v>
      </x:c>
      <x:c r="B11" t="n">
        <x:v>428</x:v>
      </x:c>
      <x:c r="C11" t="n">
        <x:v>1.9</x:v>
      </x:c>
      <x:c r="D11" t="n">
        <x:v>36.91</x:v>
      </x:c>
      <x:c r="E11" t="n">
        <x:v>40.863611</x:v>
      </x:c>
      <x:c r="F11" t="n">
        <x:v>-1.323611</x:v>
      </x:c>
      <x:c r="G11" t="str">
        <x:v>Ojos de Caminreal–Jiloca</x:v>
      </x:c>
    </x:row>
    <x:row r="12">
      <x:c r="A12" t="str">
        <x:v>Calamocha</x:v>
      </x:c>
      <x:c r="B12" t="n">
        <x:v>4655</x:v>
      </x:c>
      <x:c r="C12" t="n">
        <x:v>20.4</x:v>
      </x:c>
      <x:c r="D12" t="n">
        <x:v>316.63</x:v>
      </x:c>
      <x:c r="E12" t="n">
        <x:v>40.916667</x:v>
      </x:c>
      <x:c r="F12" t="n">
        <x:v>-1.3</x:v>
      </x:c>
      <x:c r="G12" t="str">
        <x:v>Ojos de Caminreal–Jiloca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25" hidden="0" customWidth="1"/>
    <x:col min="4" max="4" width="22" hidden="0" customWidth="1"/>
    <x:col min="5" max="5" width="96" hidden="0" customWidth="1"/>
  </x:cols>
  <x:sheetData>
    <x:row r="1">
      <x:c r="A1" s="16" t="str">
        <x:v>Name</x:v>
      </x:c>
      <x:c r="B1" s="16" t="str">
        <x:v>Value</x:v>
      </x:c>
      <x:c r="C1" s="16" t="str">
        <x:v>Unit</x:v>
      </x:c>
      <x:c r="D1" s="16" t="str">
        <x:v>Group</x:v>
      </x:c>
      <x:c r="E1" s="16" t="str">
        <x:v>Source / basis</x:v>
      </x:c>
    </x:row>
    <x:row r="2">
      <x:c r="A2" t="str">
        <x:v>p_pop_src</x:v>
      </x:c>
      <x:c r="B2" t="n">
        <x:v>8185</x:v>
      </x:c>
      <x:c r="C2" t="str">
        <x:v>people</x:v>
      </x:c>
      <x:c r="D2" t="str">
        <x:v>Scaling</x:v>
      </x:c>
      <x:c r="E2" t="str">
        <x:v>Source community model (8 municipalities)</x:v>
      </x:c>
    </x:row>
    <x:row r="3">
      <x:c r="A3" t="str">
        <x:v>p_hh_src</x:v>
      </x:c>
      <x:c r="B3" t="n">
        <x:v>3461</x:v>
      </x:c>
      <x:c r="C3" t="str">
        <x:v>households</x:v>
      </x:c>
      <x:c r="D3" t="str">
        <x:v>Scaling</x:v>
      </x:c>
      <x:c r="E3" t="str">
        <x:v>Source community model</x:v>
      </x:c>
    </x:row>
    <x:row r="4">
      <x:c r="A4" t="str">
        <x:v>p_dh_src</x:v>
      </x:c>
      <x:c r="B4" t="n">
        <x:v>2847</x:v>
      </x:c>
      <x:c r="C4" t="str">
        <x:v>households</x:v>
      </x:c>
      <x:c r="D4" t="str">
        <x:v>Scaling</x:v>
      </x:c>
      <x:c r="E4" t="str">
        <x:v>Source community model; district-heated share preserved</x:v>
      </x:c>
    </x:row>
    <x:row r="5">
      <x:c r="A5" t="str">
        <x:v>p_veh_src</x:v>
      </x:c>
      <x:c r="B5" t="n">
        <x:v>4037</x:v>
      </x:c>
      <x:c r="C5" t="str">
        <x:v>vehicles</x:v>
      </x:c>
      <x:c r="D5" t="str">
        <x:v>Scaling</x:v>
      </x:c>
      <x:c r="E5" t="str">
        <x:v>Source community model</x:v>
      </x:c>
    </x:row>
    <x:row r="6">
      <x:c r="A6" t="str">
        <x:v>p_elec_hh</x:v>
      </x:c>
      <x:c r="B6" t="n">
        <x:v>2731.6</x:v>
      </x:c>
      <x:c r="C6" t="str">
        <x:v>kWh/household-yr</x:v>
      </x:c>
      <x:c r="D6" t="str">
        <x:v>Households</x:v>
      </x:c>
      <x:c r="E6" t="str">
        <x:v>Source community model</x:v>
      </x:c>
    </x:row>
    <x:row r="7">
      <x:c r="A7" t="str">
        <x:v>p_heat_hh</x:v>
      </x:c>
      <x:c r="B7" t="n">
        <x:v>18050</x:v>
      </x:c>
      <x:c r="C7" t="str">
        <x:v>kWh useful heat/household-yr</x:v>
      </x:c>
      <x:c r="D7" t="str">
        <x:v>Households</x:v>
      </x:c>
      <x:c r="E7" t="str">
        <x:v>Source community model</x:v>
      </x:c>
    </x:row>
    <x:row r="8">
      <x:c r="A8" t="str">
        <x:v>p_cook_hh</x:v>
      </x:c>
      <x:c r="B8" t="n">
        <x:v>1500</x:v>
      </x:c>
      <x:c r="C8" t="str">
        <x:v>kWh useful/household-yr</x:v>
      </x:c>
      <x:c r="D8" t="str">
        <x:v>Households</x:v>
      </x:c>
      <x:c r="E8" t="str">
        <x:v>Source community model</x:v>
      </x:c>
    </x:row>
    <x:row r="9">
      <x:c r="A9" t="str">
        <x:v>p_eff_cook</x:v>
      </x:c>
      <x:c r="B9" t="n">
        <x:v>0.9</x:v>
      </x:c>
      <x:c r="C9" t="str">
        <x:v>fraction</x:v>
      </x:c>
      <x:c r="D9" t="str">
        <x:v>Households</x:v>
      </x:c>
      <x:c r="E9" t="str">
        <x:v>Source community model (gas appliance)</x:v>
      </x:c>
    </x:row>
    <x:row r="10">
      <x:c r="A10" t="str">
        <x:v>p_eff_induction</x:v>
      </x:c>
      <x:c r="B10" t="n">
        <x:v>0.85</x:v>
      </x:c>
      <x:c r="C10" t="str">
        <x:v>fraction</x:v>
      </x:c>
      <x:c r="D10" t="str">
        <x:v>Households</x:v>
      </x:c>
      <x:c r="E10" t="str">
        <x:v>Screening assumption</x:v>
      </x:c>
    </x:row>
    <x:row r="11">
      <x:c r="A11" t="str">
        <x:v>p_mix_oil</x:v>
      </x:c>
      <x:c r="B11" t="n">
        <x:v>0.6</x:v>
      </x:c>
      <x:c r="C11" t="str">
        <x:v>share of useful heat</x:v>
      </x:c>
      <x:c r="D11" t="str">
        <x:v>Reference heating</x:v>
      </x:c>
      <x:c r="E11" t="str">
        <x:v>Screening assumption: heating oil (gasóleo C) dominant off the gas grid</x:v>
      </x:c>
    </x:row>
    <x:row r="12">
      <x:c r="A12" t="str">
        <x:v>p_mix_lpg</x:v>
      </x:c>
      <x:c r="B12" t="n">
        <x:v>0.15</x:v>
      </x:c>
      <x:c r="C12" t="str">
        <x:v>share</x:v>
      </x:c>
      <x:c r="D12" t="str">
        <x:v>Reference heating</x:v>
      </x:c>
      <x:c r="E12" t="str">
        <x:v>Screening assumption</x:v>
      </x:c>
    </x:row>
    <x:row r="13">
      <x:c r="A13" t="str">
        <x:v>p_mix_ng</x:v>
      </x:c>
      <x:c r="B13" t="n">
        <x:v>0.15</x:v>
      </x:c>
      <x:c r="C13" t="str">
        <x:v>share</x:v>
      </x:c>
      <x:c r="D13" t="str">
        <x:v>Reference heating</x:v>
      </x:c>
      <x:c r="E13" t="str">
        <x:v>Screening assumption: gas grid in larger towns</x:v>
      </x:c>
    </x:row>
    <x:row r="14">
      <x:c r="A14" t="str">
        <x:v>p_mix_bio</x:v>
      </x:c>
      <x:c r="B14" t="n">
        <x:v>0.1</x:v>
      </x:c>
      <x:c r="C14" t="str">
        <x:v>share</x:v>
      </x:c>
      <x:c r="D14" t="str">
        <x:v>Reference heating</x:v>
      </x:c>
      <x:c r="E14" t="str">
        <x:v>Screening assumption: wood/pellet</x:v>
      </x:c>
    </x:row>
    <x:row r="15">
      <x:c r="A15" t="str">
        <x:v>p_cook_mix_lpg</x:v>
      </x:c>
      <x:c r="B15" t="n">
        <x:v>0.7</x:v>
      </x:c>
      <x:c r="C15" t="str">
        <x:v>share</x:v>
      </x:c>
      <x:c r="D15" t="str">
        <x:v>Reference heating</x:v>
      </x:c>
      <x:c r="E15" t="str">
        <x:v>Screening assumption: bottled butane/propane</x:v>
      </x:c>
    </x:row>
    <x:row r="16">
      <x:c r="A16" t="str">
        <x:v>p_eff_oil</x:v>
      </x:c>
      <x:c r="B16" t="n">
        <x:v>0.85</x:v>
      </x:c>
      <x:c r="C16" t="str">
        <x:v>fraction</x:v>
      </x:c>
      <x:c r="D16" t="str">
        <x:v>Reference heating</x:v>
      </x:c>
      <x:c r="E16" t="str">
        <x:v>Screening boiler efficiency</x:v>
      </x:c>
    </x:row>
    <x:row r="17">
      <x:c r="A17" t="str">
        <x:v>p_eff_lpg</x:v>
      </x:c>
      <x:c r="B17" t="n">
        <x:v>0.9</x:v>
      </x:c>
      <x:c r="C17" t="str">
        <x:v>fraction</x:v>
      </x:c>
      <x:c r="D17" t="str">
        <x:v>Reference heating</x:v>
      </x:c>
      <x:c r="E17" t="str">
        <x:v>Screening boiler efficiency</x:v>
      </x:c>
    </x:row>
    <x:row r="18">
      <x:c r="A18" t="str">
        <x:v>p_eff_ng</x:v>
      </x:c>
      <x:c r="B18" t="n">
        <x:v>0.9</x:v>
      </x:c>
      <x:c r="C18" t="str">
        <x:v>fraction</x:v>
      </x:c>
      <x:c r="D18" t="str">
        <x:v>Reference heating</x:v>
      </x:c>
      <x:c r="E18" t="str">
        <x:v>Source community model</x:v>
      </x:c>
    </x:row>
    <x:row r="19">
      <x:c r="A19" t="str">
        <x:v>p_eff_bio</x:v>
      </x:c>
      <x:c r="B19" t="n">
        <x:v>0.75</x:v>
      </x:c>
      <x:c r="C19" t="str">
        <x:v>fraction</x:v>
      </x:c>
      <x:c r="D19" t="str">
        <x:v>Reference heating</x:v>
      </x:c>
      <x:c r="E19" t="str">
        <x:v>Screening stove/boiler efficiency</x:v>
      </x:c>
    </x:row>
    <x:row r="20">
      <x:c r="A20" t="str">
        <x:v>p_ef_oil</x:v>
      </x:c>
      <x:c r="B20" t="n">
        <x:v>0.26676</x:v>
      </x:c>
      <x:c r="C20" t="str">
        <x:v>kgCO2/kWh fuel</x:v>
      </x:c>
      <x:c r="D20" t="str">
        <x:v>Fuel factors</x:v>
      </x:c>
      <x:c r="E20" t="str">
        <x:v>74.10 kgCO2/GJ, Spain NIR 2024 Annex 7 (gas oil)</x:v>
      </x:c>
    </x:row>
    <x:row r="21">
      <x:c r="A21" t="str">
        <x:v>p_ef_lpg</x:v>
      </x:c>
      <x:c r="B21" t="n">
        <x:v>0.22716</x:v>
      </x:c>
      <x:c r="C21" t="str">
        <x:v>kgCO2/kWh fuel</x:v>
      </x:c>
      <x:c r="D21" t="str">
        <x:v>Fuel factors</x:v>
      </x:c>
      <x:c r="E21" t="str">
        <x:v>63.10 kgCO2/GJ, Spain NIR 2024 Annex 7 (LPG)</x:v>
      </x:c>
    </x:row>
    <x:row r="22">
      <x:c r="A22" t="str">
        <x:v>p_ef_ng</x:v>
      </x:c>
      <x:c r="B22" t="n">
        <x:v>0.20156</x:v>
      </x:c>
      <x:c r="C22" t="str">
        <x:v>kgCO2/kWh fuel</x:v>
      </x:c>
      <x:c r="D22" t="str">
        <x:v>Fuel factors</x:v>
      </x:c>
      <x:c r="E22" t="str">
        <x:v>55.99 kgCO2/GJ, Spain NIR 2024 Annex 7 (natural gas)</x:v>
      </x:c>
    </x:row>
    <x:row r="23">
      <x:c r="A23" t="str">
        <x:v>p_ef_biomass</x:v>
      </x:c>
      <x:c r="B23" t="n">
        <x:v>0.03</x:v>
      </x:c>
      <x:c r="C23" t="str">
        <x:v>kgCO2e/kWh fuel</x:v>
      </x:c>
      <x:c r="D23" t="str">
        <x:v>Fuel factors</x:v>
      </x:c>
      <x:c r="E23" t="str">
        <x:v>Screening non-CO2 and supply-chain factor; biogenic CO2 excluded</x:v>
      </x:c>
    </x:row>
    <x:row r="24">
      <x:c r="A24" t="str">
        <x:v>p_wtt_oil</x:v>
      </x:c>
      <x:c r="B24" t="n">
        <x:v>1.25</x:v>
      </x:c>
      <x:c r="C24" t="str">
        <x:v>× combustion</x:v>
      </x:c>
      <x:c r="D24" t="str">
        <x:v>Fuel factors</x:v>
      </x:c>
      <x:c r="E24" t="str">
        <x:v>Screening well-to-tank uplift for oil products (heating oil, diesel); same value as the source model uses for gasoline</x:v>
      </x:c>
    </x:row>
    <x:row r="25">
      <x:c r="A25" t="str">
        <x:v>p_wtt_lpg</x:v>
      </x:c>
      <x:c r="B25" t="n">
        <x:v>1.12</x:v>
      </x:c>
      <x:c r="C25" t="str">
        <x:v>× combustion</x:v>
      </x:c>
      <x:c r="D25" t="str">
        <x:v>Fuel factors</x:v>
      </x:c>
      <x:c r="E25" t="str">
        <x:v>Screening well-to-tank uplift</x:v>
      </x:c>
    </x:row>
    <x:row r="26">
      <x:c r="A26" t="str">
        <x:v>p_wtt_ng</x:v>
      </x:c>
      <x:c r="B26" t="n">
        <x:v>1.2</x:v>
      </x:c>
      <x:c r="C26" t="str">
        <x:v>× combustion</x:v>
      </x:c>
      <x:c r="D26" t="str">
        <x:v>Fuel factors</x:v>
      </x:c>
      <x:c r="E26" t="str">
        <x:v>Screening well-to-tank uplift incl. supply-chain methane</x:v>
      </x:c>
    </x:row>
    <x:row r="27">
      <x:c r="A27" t="str">
        <x:v>p_ef_hvo</x:v>
      </x:c>
      <x:c r="B27" t="n">
        <x:v>0.0576</x:v>
      </x:c>
      <x:c r="C27" t="str">
        <x:v>kgCO2e/kWh fuel</x:v>
      </x:c>
      <x:c r="D27" t="str">
        <x:v>Fuel factors</x:v>
      </x:c>
      <x:c r="E27" t="str">
        <x:v>16 gCO2e/MJ renewable diesel/heating oil from wastes (83% below the 94 gCO2e/MJ RED II comparator)</x:v>
      </x:c>
    </x:row>
    <x:row r="28">
      <x:c r="A28" t="str">
        <x:v>p_ef_biomethane</x:v>
      </x:c>
      <x:c r="B28" t="n">
        <x:v>0.01</x:v>
      </x:c>
      <x:c r="C28" t="str">
        <x:v>kgCO2e/kWh fuel</x:v>
      </x:c>
      <x:c r="D28" t="str">
        <x:v>Fuel factors</x:v>
      </x:c>
      <x:c r="E28" t="str">
        <x:v>Screening upgrading/compression factor; leakage counted separately</x:v>
      </x:c>
    </x:row>
    <x:row r="29">
      <x:c r="A29" t="str">
        <x:v>p_diesel_kwh_l</x:v>
      </x:c>
      <x:c r="B29" t="n">
        <x:v>9.972</x:v>
      </x:c>
      <x:c r="C29" t="str">
        <x:v>kWh/L</x:v>
      </x:c>
      <x:c r="D29" t="str">
        <x:v>Fuel factors</x:v>
      </x:c>
      <x:c r="E29" t="str">
        <x:v>43.0 GJ/t × 0.835 kg/L</x:v>
      </x:c>
    </x:row>
    <x:row r="30">
      <x:c r="A30" t="str">
        <x:v>p_ef_grid_mb</x:v>
      </x:c>
      <x:c r="B30" t="n">
        <x:v>0.258</x:v>
      </x:c>
      <x:c r="C30" t="str">
        <x:v>kgCO2e/kWh</x:v>
      </x:c>
      <x:c r="D30" t="str">
        <x:v>Electricity</x:v>
      </x:c>
      <x:c r="E30" t="str">
        <x:v>MITECO 2025 national mix without guarantees of origin (market-based reference)</x:v>
      </x:c>
    </x:row>
    <x:row r="31">
      <x:c r="A31" t="str">
        <x:v>p_ef_grid_lb</x:v>
      </x:c>
      <x:c r="B31" t="n">
        <x:v>0.215</x:v>
      </x:c>
      <x:c r="C31" t="str">
        <x:v>kgCO2e/kWh</x:v>
      </x:c>
      <x:c r="D31" t="str">
        <x:v>Electricity</x:v>
      </x:c>
      <x:c r="E31" t="str">
        <x:v>Spanish system operational intensity 2025 (location-based)</x:v>
      </x:c>
    </x:row>
    <x:row r="32">
      <x:c r="A32" t="str">
        <x:v>p_ef_own</x:v>
      </x:c>
      <x:c r="B32" t="n">
        <x:v>0.02</x:v>
      </x:c>
      <x:c r="C32" t="str">
        <x:v>kgCO2e/kWh</x:v>
      </x:c>
      <x:c r="D32" t="str">
        <x:v>Electricity</x:v>
      </x:c>
      <x:c r="E32" t="str">
        <x:v>Screening lifecycle factor, wind and solar</x:v>
      </x:c>
    </x:row>
    <x:row r="33">
      <x:c r="A33" t="str">
        <x:v>p_ef_ppa</x:v>
      </x:c>
      <x:c r="B33" t="n">
        <x:v>0.02</x:v>
      </x:c>
      <x:c r="C33" t="str">
        <x:v>kgCO2e/kWh</x:v>
      </x:c>
      <x:c r="D33" t="str">
        <x:v>Electricity</x:v>
      </x:c>
      <x:c r="E33" t="str">
        <x:v>Screening lifecycle factor, residual renewable PPA (annual matching)</x:v>
      </x:c>
    </x:row>
    <x:row r="34">
      <x:c r="A34" t="str">
        <x:v>p_wind_per_it</x:v>
      </x:c>
      <x:c r="B34" t="n">
        <x:v>2.5181869054280916</x:v>
      </x:c>
      <x:c r="C34" t="str">
        <x:v>MW wind/MW IT</x:v>
      </x:c>
      <x:c r="D34" t="str">
        <x:v>Electricity</x:v>
      </x:c>
      <x:c r="E34" t="str">
        <x:v>Six-site design: 90 MW wind for 35.74 MW IT</x:v>
      </x:c>
    </x:row>
    <x:row r="35">
      <x:c r="A35" t="str">
        <x:v>p_solar_per_it</x:v>
      </x:c>
      <x:c r="B35" t="n">
        <x:v>0.8393956351426972</x:v>
      </x:c>
      <x:c r="C35" t="str">
        <x:v>MWp/MW IT</x:v>
      </x:c>
      <x:c r="D35" t="str">
        <x:v>Electricity</x:v>
      </x:c>
      <x:c r="E35" t="str">
        <x:v>Six-site design: 30 MWp solar for 35.74 MW IT</x:v>
      </x:c>
    </x:row>
    <x:row r="36">
      <x:c r="A36" t="str">
        <x:v>p_wind_cf</x:v>
      </x:c>
      <x:c r="B36" t="n">
        <x:v>0.3115677321156773</x:v>
      </x:c>
      <x:c r="C36" t="str">
        <x:v>fraction</x:v>
      </x:c>
      <x:c r="D36" t="str">
        <x:v>Electricity</x:v>
      </x:c>
      <x:c r="E36" t="str">
        <x:v>Source community model</x:v>
      </x:c>
    </x:row>
    <x:row r="37">
      <x:c r="A37" t="str">
        <x:v>p_solar_cf</x:v>
      </x:c>
      <x:c r="B37" t="n">
        <x:v>0.2</x:v>
      </x:c>
      <x:c r="C37" t="str">
        <x:v>fraction</x:v>
      </x:c>
      <x:c r="D37" t="str">
        <x:v>Electricity</x:v>
      </x:c>
      <x:c r="E37" t="str">
        <x:v>Source community model</x:v>
      </x:c>
    </x:row>
    <x:row r="38">
      <x:c r="A38" t="str">
        <x:v>p_km_veh</x:v>
      </x:c>
      <x:c r="B38" t="n">
        <x:v>12000</x:v>
      </x:c>
      <x:c r="C38" t="str">
        <x:v>km/vehicle-yr</x:v>
      </x:c>
      <x:c r="D38" t="str">
        <x:v>Mobility</x:v>
      </x:c>
      <x:c r="E38" t="str">
        <x:v>Source community model</x:v>
      </x:c>
    </x:row>
    <x:row r="39">
      <x:c r="A39" t="str">
        <x:v>p_l100</x:v>
      </x:c>
      <x:c r="B39" t="n">
        <x:v>7.5</x:v>
      </x:c>
      <x:c r="C39" t="str">
        <x:v>L/100 km</x:v>
      </x:c>
      <x:c r="D39" t="str">
        <x:v>Mobility</x:v>
      </x:c>
      <x:c r="E39" t="str">
        <x:v>Source community model</x:v>
      </x:c>
    </x:row>
    <x:row r="40">
      <x:c r="A40" t="str">
        <x:v>p_gasoline_kg_l</x:v>
      </x:c>
      <x:c r="B40" t="n">
        <x:v>2.347</x:v>
      </x:c>
      <x:c r="C40" t="str">
        <x:v>kgCO2/L</x:v>
      </x:c>
      <x:c r="D40" t="str">
        <x:v>Mobility</x:v>
      </x:c>
      <x:c r="E40" t="str">
        <x:v>Source community model</x:v>
      </x:c>
    </x:row>
    <x:row r="41">
      <x:c r="A41" t="str">
        <x:v>p_wtt_gasoline</x:v>
      </x:c>
      <x:c r="B41" t="n">
        <x:v>1.25</x:v>
      </x:c>
      <x:c r="C41" t="str">
        <x:v>× tailpipe</x:v>
      </x:c>
      <x:c r="D41" t="str">
        <x:v>Mobility</x:v>
      </x:c>
      <x:c r="E41" t="str">
        <x:v>Source community model</x:v>
      </x:c>
    </x:row>
    <x:row r="42">
      <x:c r="A42" t="str">
        <x:v>p_bev_share</x:v>
      </x:c>
      <x:c r="B42" t="n">
        <x:v>0.9</x:v>
      </x:c>
      <x:c r="C42" t="str">
        <x:v>share</x:v>
      </x:c>
      <x:c r="D42" t="str">
        <x:v>Mobility</x:v>
      </x:c>
      <x:c r="E42" t="str">
        <x:v>Project design (≈89.5% BEV)</x:v>
      </x:c>
    </x:row>
    <x:row r="43">
      <x:c r="A43" t="str">
        <x:v>p_phev_share</x:v>
      </x:c>
      <x:c r="B43" t="n">
        <x:v>0.1</x:v>
      </x:c>
      <x:c r="C43" t="str">
        <x:v>share</x:v>
      </x:c>
      <x:c r="D43" t="str">
        <x:v>Mobility</x:v>
      </x:c>
      <x:c r="E43" t="str">
        <x:v>Project design</x:v>
      </x:c>
    </x:row>
    <x:row r="44">
      <x:c r="A44" t="str">
        <x:v>p_phev_efrac</x:v>
      </x:c>
      <x:c r="B44" t="n">
        <x:v>0.6</x:v>
      </x:c>
      <x:c r="C44" t="str">
        <x:v>share of km</x:v>
      </x:c>
      <x:c r="D44" t="str">
        <x:v>Mobility</x:v>
      </x:c>
      <x:c r="E44" t="str">
        <x:v>Source community model</x:v>
      </x:c>
    </x:row>
    <x:row r="45">
      <x:c r="A45" t="str">
        <x:v>p_bev_kwh_km</x:v>
      </x:c>
      <x:c r="B45" t="n">
        <x:v>0.18</x:v>
      </x:c>
      <x:c r="C45" t="str">
        <x:v>kWh/km</x:v>
      </x:c>
      <x:c r="D45" t="str">
        <x:v>Mobility</x:v>
      </x:c>
      <x:c r="E45" t="str">
        <x:v>Source community model</x:v>
      </x:c>
    </x:row>
    <x:row r="46">
      <x:c r="A46" t="str">
        <x:v>p_charge_loss</x:v>
      </x:c>
      <x:c r="B46" t="n">
        <x:v>0.1</x:v>
      </x:c>
      <x:c r="C46" t="str">
        <x:v>fraction</x:v>
      </x:c>
      <x:c r="D46" t="str">
        <x:v>Mobility</x:v>
      </x:c>
      <x:c r="E46" t="str">
        <x:v>Screening charging loss</x:v>
      </x:c>
    </x:row>
    <x:row r="47">
      <x:c r="A47" t="str">
        <x:v>p_rgas_ratio</x:v>
      </x:c>
      <x:c r="B47" t="n">
        <x:v>0.2717391304347826</x:v>
      </x:c>
      <x:c r="C47" t="str">
        <x:v>× fossil WTW</x:v>
      </x:c>
      <x:c r="D47" t="str">
        <x:v>Mobility</x:v>
      </x:c>
      <x:c r="E47" t="str">
        <x:v>Source community model renewable-gasoline ratio</x:v>
      </x:c>
    </x:row>
    <x:row r="48">
      <x:c r="A48" t="str">
        <x:v>p_bus_km</x:v>
      </x:c>
      <x:c r="B48" t="n">
        <x:v>250000</x:v>
      </x:c>
      <x:c r="C48" t="str">
        <x:v>km/yr</x:v>
      </x:c>
      <x:c r="D48" t="str">
        <x:v>Mobility</x:v>
      </x:c>
      <x:c r="E48" t="str">
        <x:v>Screening: free inter-municipal electric bus (added service, no reference credit)</x:v>
      </x:c>
    </x:row>
    <x:row r="49">
      <x:c r="A49" t="str">
        <x:v>p_bus_kwh_km</x:v>
      </x:c>
      <x:c r="B49" t="n">
        <x:v>1.3</x:v>
      </x:c>
      <x:c r="C49" t="str">
        <x:v>kWh/km</x:v>
      </x:c>
      <x:c r="D49" t="str">
        <x:v>Mobility</x:v>
      </x:c>
      <x:c r="E49" t="str">
        <x:v>Screening</x:v>
      </x:c>
    </x:row>
    <x:row r="50">
      <x:c r="A50" t="str">
        <x:v>p_pue</x:v>
      </x:c>
      <x:c r="B50" t="n">
        <x:v>1.15</x:v>
      </x:c>
      <x:c r="C50" t="str">
        <x:v>ratio</x:v>
      </x:c>
      <x:c r="D50" t="str">
        <x:v>Compute</x:v>
      </x:c>
      <x:c r="E50" t="str">
        <x:v>Project design, liquid-cooled halls</x:v>
      </x:c>
    </x:row>
    <x:row r="51">
      <x:c r="A51" t="str">
        <x:v>p_pue_campus</x:v>
      </x:c>
      <x:c r="B51" t="n">
        <x:v>1.15</x:v>
      </x:c>
      <x:c r="C51" t="str">
        <x:v>ratio</x:v>
      </x:c>
      <x:c r="D51" t="str">
        <x:v>Compute</x:v>
      </x:c>
      <x:c r="E51" t="str">
        <x:v>Mega-campus reference: same PUE (neutral); sensitivity 1.10–1.45</x:v>
      </x:c>
    </x:row>
    <x:row r="52">
      <x:c r="A52" t="str">
        <x:v>p_net_frac</x:v>
      </x:c>
      <x:c r="B52" t="n">
        <x:v>0.01</x:v>
      </x:c>
      <x:c r="C52" t="str">
        <x:v>fraction of IT energy</x:v>
      </x:c>
      <x:c r="D52" t="str">
        <x:v>Compute</x:v>
      </x:c>
      <x:c r="E52" t="str">
        <x:v>Inter-site network allowance; sensitivity 0.5–3%</x:v>
      </x:c>
    </x:row>
    <x:row r="53">
      <x:c r="A53" t="str">
        <x:v>p_heat_recovery</x:v>
      </x:c>
      <x:c r="B53" t="n">
        <x:v>0.88</x:v>
      </x:c>
      <x:c r="C53" t="str">
        <x:v>fraction of IT energy</x:v>
      </x:c>
      <x:c r="D53" t="str">
        <x:v>Compute</x:v>
      </x:c>
      <x:c r="E53" t="str">
        <x:v>Project design, liquid-loop capture</x:v>
      </x:c>
    </x:row>
    <x:row r="54">
      <x:c r="A54" t="str">
        <x:v>p_dh_lift_share</x:v>
      </x:c>
      <x:c r="B54" t="n">
        <x:v>0.14202334630350194</x:v>
      </x:c>
      <x:c r="C54" t="str">
        <x:v>kWhe/kWhth delivered</x:v>
      </x:c>
      <x:c r="D54" t="str">
        <x:v>Compute</x:v>
      </x:c>
      <x:c r="E54" t="str">
        <x:v>Project design heat-pump lift for district heating</x:v>
      </x:c>
    </x:row>
    <x:row r="55">
      <x:c r="A55" t="str">
        <x:v>p_dh_pump</x:v>
      </x:c>
      <x:c r="B55" t="n">
        <x:v>0.015</x:v>
      </x:c>
      <x:c r="C55" t="str">
        <x:v>kWhe/kWhth</x:v>
      </x:c>
      <x:c r="D55" t="str">
        <x:v>Compute</x:v>
      </x:c>
      <x:c r="E55" t="str">
        <x:v>Source community model</x:v>
      </x:c>
    </x:row>
    <x:row r="56">
      <x:c r="A56" t="str">
        <x:v>p_glass_ha</x:v>
      </x:c>
      <x:c r="B56" t="n">
        <x:v>42.89</x:v>
      </x:c>
      <x:c r="C56" t="str">
        <x:v>ha</x:v>
      </x:c>
      <x:c r="D56" t="str">
        <x:v>Compute</x:v>
      </x:c>
      <x:c r="E56" t="str">
        <x:v>Project design glasshouse area</x:v>
      </x:c>
    </x:row>
    <x:row r="57">
      <x:c r="A57" t="str">
        <x:v>p_glass_gwh_ha</x:v>
      </x:c>
      <x:c r="B57" t="n">
        <x:v>1.2594142259414227</x:v>
      </x:c>
      <x:c r="C57" t="str">
        <x:v>GWh/ha-yr</x:v>
      </x:c>
      <x:c r="D57" t="str">
        <x:v>Compute</x:v>
      </x:c>
      <x:c r="E57" t="str">
        <x:v>Project design heat demand</x:v>
      </x:c>
    </x:row>
    <x:row r="58">
      <x:c r="A58" t="str">
        <x:v>p_seafood_t</x:v>
      </x:c>
      <x:c r="B58" t="n">
        <x:v>6559</x:v>
      </x:c>
      <x:c r="C58" t="str">
        <x:v>t/yr</x:v>
      </x:c>
      <x:c r="D58" t="str">
        <x:v>Compute</x:v>
      </x:c>
      <x:c r="E58" t="str">
        <x:v>Project design RAS output</x:v>
      </x:c>
    </x:row>
    <x:row r="59">
      <x:c r="A59" t="str">
        <x:v>p_ras_mwh_t</x:v>
      </x:c>
      <x:c r="B59" t="n">
        <x:v>14.242837653478855</x:v>
      </x:c>
      <x:c r="C59" t="str">
        <x:v>MWh/t</x:v>
      </x:c>
      <x:c r="D59" t="str">
        <x:v>Compute</x:v>
      </x:c>
      <x:c r="E59" t="str">
        <x:v>Project design heat demand</x:v>
      </x:c>
    </x:row>
    <x:row r="60">
      <x:c r="A60" t="str">
        <x:v>p_proving_kwh_kg</x:v>
      </x:c>
      <x:c r="B60" t="n">
        <x:v>0.2</x:v>
      </x:c>
      <x:c r="C60" t="str">
        <x:v>kWh/kg bread</x:v>
      </x:c>
      <x:c r="D60" t="str">
        <x:v>Compute</x:v>
      </x:c>
      <x:c r="E60" t="str">
        <x:v>Screening proving and baking-support heat</x:v>
      </x:c>
    </x:row>
    <x:row r="61">
      <x:c r="A61" t="str">
        <x:v>p_ras_kwh_kg</x:v>
      </x:c>
      <x:c r="B61" t="n">
        <x:v>5</x:v>
      </x:c>
      <x:c r="C61" t="str">
        <x:v>kWh/kg</x:v>
      </x:c>
      <x:c r="D61" t="str">
        <x:v>Compute</x:v>
      </x:c>
      <x:c r="E61" t="str">
        <x:v>Screening RAS electricity (pumps, aeration, filtration); heat supplied separately</x:v>
      </x:c>
    </x:row>
    <x:row r="62">
      <x:c r="A62" t="str">
        <x:v>p_glass_kwh_m2</x:v>
      </x:c>
      <x:c r="B62" t="n">
        <x:v>25</x:v>
      </x:c>
      <x:c r="C62" t="str">
        <x:v>kWh/m2-yr</x:v>
      </x:c>
      <x:c r="D62" t="str">
        <x:v>Compute</x:v>
      </x:c>
      <x:c r="E62" t="str">
        <x:v>Screening glasshouse electricity (climate control, irrigation; no supplementary lighting)</x:v>
      </x:c>
    </x:row>
    <x:row r="63">
      <x:c r="A63" t="str">
        <x:v>p_dry_alf_gwh</x:v>
      </x:c>
      <x:c r="B63" t="n">
        <x:v>79.57</x:v>
      </x:c>
      <x:c r="C63" t="str">
        <x:v>GWh/yr</x:v>
      </x:c>
      <x:c r="D63" t="str">
        <x:v>Compute</x:v>
      </x:c>
      <x:c r="E63" t="str">
        <x:v>Project design: leased alfalfa dehydration line thermal duty</x:v>
      </x:c>
    </x:row>
    <x:row r="64">
      <x:c r="A64" t="str">
        <x:v>p_dry_other_gwh</x:v>
      </x:c>
      <x:c r="B64" t="n">
        <x:v>37.33</x:v>
      </x:c>
      <x:c r="C64" t="str">
        <x:v>GWh/yr</x:v>
      </x:c>
      <x:c r="D64" t="str">
        <x:v>Compute</x:v>
      </x:c>
      <x:c r="E64" t="str">
        <x:v>Project design: owned high-value drying line (no credit taken)</x:v>
      </x:c>
    </x:row>
    <x:row r="65">
      <x:c r="A65" t="str">
        <x:v>p_dry_lift_gwh</x:v>
      </x:c>
      <x:c r="B65" t="n">
        <x:v>15.6</x:v>
      </x:c>
      <x:c r="C65" t="str">
        <x:v>GWh/yr</x:v>
      </x:c>
      <x:c r="D65" t="str">
        <x:v>Compute</x:v>
      </x:c>
      <x:c r="E65" t="str">
        <x:v>Project design heat-pump lift for drying</x:v>
      </x:c>
    </x:row>
    <x:row r="66">
      <x:c r="A66" t="str">
        <x:v>p_comarca_area_km2</x:v>
      </x:c>
      <x:c r="B66" t="n">
        <x:v>1932.1</x:v>
      </x:c>
      <x:c r="C66" t="str">
        <x:v>km2</x:v>
      </x:c>
      <x:c r="D66" t="str">
        <x:v>Agriculture</x:v>
      </x:c>
      <x:c r="E66" t="str">
        <x:v>Comarca del Jiloca</x:v>
      </x:c>
    </x:row>
    <x:row r="67">
      <x:c r="A67" t="str">
        <x:v>p_comarca_cult_ha</x:v>
      </x:c>
      <x:c r="B67" t="n">
        <x:v>50734</x:v>
      </x:c>
      <x:c r="C67" t="str">
        <x:v>ha</x:v>
      </x:c>
      <x:c r="D67" t="str">
        <x:v>Agriculture</x:v>
      </x:c>
      <x:c r="E67" t="str">
        <x:v>Comarca del Jiloca cultivated area, 2009 (44,188 dry cereal + 3,651 irrigated + 2,179 legumes + 716 fruit)</x:v>
      </x:c>
    </x:row>
    <x:row r="68">
      <x:c r="A68" t="str">
        <x:v>p_diesel_l_ha</x:v>
      </x:c>
      <x:c r="B68" t="n">
        <x:v>80</x:v>
      </x:c>
      <x:c r="C68" t="str">
        <x:v>L/ha-yr</x:v>
      </x:c>
      <x:c r="D68" t="str">
        <x:v>Agriculture</x:v>
      </x:c>
      <x:c r="E68" t="str">
        <x:v>Screening agricultural diesel intensity (project design)</x:v>
      </x:c>
    </x:row>
    <x:row r="69">
      <x:c r="A69" t="str">
        <x:v>p_bio_tractor_cap</x:v>
      </x:c>
      <x:c r="B69" t="n">
        <x:v>0.3</x:v>
      </x:c>
      <x:c r="C69" t="str">
        <x:v>share of machinery energy</x:v>
      </x:c>
      <x:c r="D69" t="str">
        <x:v>Agriculture</x:v>
      </x:c>
      <x:c r="E69" t="str">
        <x:v>Screening cap on methane-tractor conversion</x:v>
      </x:c>
    </x:row>
    <x:row r="70">
      <x:c r="A70" t="str">
        <x:v>p_cattle_comarca</x:v>
      </x:c>
      <x:c r="B70" t="n">
        <x:v>2800</x:v>
      </x:c>
      <x:c r="C70" t="str">
        <x:v>head</x:v>
      </x:c>
      <x:c r="D70" t="str">
        <x:v>Livestock</x:v>
      </x:c>
      <x:c r="E70" t="str">
        <x:v>Comarca del Jiloca 2009</x:v>
      </x:c>
    </x:row>
    <x:row r="71">
      <x:c r="A71" t="str">
        <x:v>p_sheep_comarca</x:v>
      </x:c>
      <x:c r="B71" t="n">
        <x:v>91000</x:v>
      </x:c>
      <x:c r="C71" t="str">
        <x:v>head</x:v>
      </x:c>
      <x:c r="D71" t="str">
        <x:v>Livestock</x:v>
      </x:c>
      <x:c r="E71" t="str">
        <x:v>Comarca del Jiloca 2009</x:v>
      </x:c>
    </x:row>
    <x:row r="72">
      <x:c r="A72" t="str">
        <x:v>p_pigs_comarca</x:v>
      </x:c>
      <x:c r="B72" t="n">
        <x:v>187000</x:v>
      </x:c>
      <x:c r="C72" t="str">
        <x:v>head</x:v>
      </x:c>
      <x:c r="D72" t="str">
        <x:v>Livestock</x:v>
      </x:c>
      <x:c r="E72" t="str">
        <x:v>Comarca del Jiloca 2009</x:v>
      </x:c>
    </x:row>
    <x:row r="73">
      <x:c r="A73" t="str">
        <x:v>p_goats_comarca</x:v>
      </x:c>
      <x:c r="B73" t="n">
        <x:v>773</x:v>
      </x:c>
      <x:c r="C73" t="str">
        <x:v>head</x:v>
      </x:c>
      <x:c r="D73" t="str">
        <x:v>Livestock</x:v>
      </x:c>
      <x:c r="E73" t="str">
        <x:v>Comarca del Jiloca 2009</x:v>
      </x:c>
    </x:row>
    <x:row r="74">
      <x:c r="A74" t="str">
        <x:v>p_ent_cattle</x:v>
      </x:c>
      <x:c r="B74" t="n">
        <x:v>57</x:v>
      </x:c>
      <x:c r="C74" t="str">
        <x:v>kgCH4/head-yr</x:v>
      </x:c>
      <x:c r="D74" t="str">
        <x:v>Livestock</x:v>
      </x:c>
      <x:c r="E74" t="str">
        <x:v>IPCC 2006 Tier 1, Western Europe other cattle</x:v>
      </x:c>
    </x:row>
    <x:row r="75">
      <x:c r="A75" t="str">
        <x:v>p_ent_sheep</x:v>
      </x:c>
      <x:c r="B75" t="n">
        <x:v>8</x:v>
      </x:c>
      <x:c r="C75" t="str">
        <x:v>kgCH4/head-yr</x:v>
      </x:c>
      <x:c r="D75" t="str">
        <x:v>Livestock</x:v>
      </x:c>
      <x:c r="E75" t="str">
        <x:v>IPCC 2006 Tier 1, developed countries</x:v>
      </x:c>
    </x:row>
    <x:row r="76">
      <x:c r="A76" t="str">
        <x:v>p_ent_goat</x:v>
      </x:c>
      <x:c r="B76" t="n">
        <x:v>5</x:v>
      </x:c>
      <x:c r="C76" t="str">
        <x:v>kgCH4/head-yr</x:v>
      </x:c>
      <x:c r="D76" t="str">
        <x:v>Livestock</x:v>
      </x:c>
      <x:c r="E76" t="str">
        <x:v>IPCC 2006 Tier 1</x:v>
      </x:c>
    </x:row>
    <x:row r="77">
      <x:c r="A77" t="str">
        <x:v>p_ent_pig</x:v>
      </x:c>
      <x:c r="B77" t="n">
        <x:v>1.5</x:v>
      </x:c>
      <x:c r="C77" t="str">
        <x:v>kgCH4/head-yr</x:v>
      </x:c>
      <x:c r="D77" t="str">
        <x:v>Livestock</x:v>
      </x:c>
      <x:c r="E77" t="str">
        <x:v>IPCC 2006 Tier 1, developed countries</x:v>
      </x:c>
    </x:row>
    <x:row r="78">
      <x:c r="A78" t="str">
        <x:v>p_man_cattle</x:v>
      </x:c>
      <x:c r="B78" t="n">
        <x:v>6</x:v>
      </x:c>
      <x:c r="C78" t="str">
        <x:v>kgCH4/head-yr</x:v>
      </x:c>
      <x:c r="D78" t="str">
        <x:v>Livestock</x:v>
      </x:c>
      <x:c r="E78" t="str">
        <x:v>Screening Tier 1-type manure CH4, cool climate</x:v>
      </x:c>
    </x:row>
    <x:row r="79">
      <x:c r="A79" t="str">
        <x:v>p_man_sheep</x:v>
      </x:c>
      <x:c r="B79" t="n">
        <x:v>0.19</x:v>
      </x:c>
      <x:c r="C79" t="str">
        <x:v>kgCH4/head-yr</x:v>
      </x:c>
      <x:c r="D79" t="str">
        <x:v>Livestock</x:v>
      </x:c>
      <x:c r="E79" t="str">
        <x:v>IPCC 2006 Tier 1</x:v>
      </x:c>
    </x:row>
    <x:row r="80">
      <x:c r="A80" t="str">
        <x:v>p_man_goat</x:v>
      </x:c>
      <x:c r="B80" t="n">
        <x:v>0.13</x:v>
      </x:c>
      <x:c r="C80" t="str">
        <x:v>kgCH4/head-yr</x:v>
      </x:c>
      <x:c r="D80" t="str">
        <x:v>Livestock</x:v>
      </x:c>
      <x:c r="E80" t="str">
        <x:v>IPCC 2006 Tier 1</x:v>
      </x:c>
    </x:row>
    <x:row r="81">
      <x:c r="A81" t="str">
        <x:v>p_man_pig</x:v>
      </x:c>
      <x:c r="B81" t="n">
        <x:v>6</x:v>
      </x:c>
      <x:c r="C81" t="str">
        <x:v>kgCH4/head-yr</x:v>
      </x:c>
      <x:c r="D81" t="str">
        <x:v>Livestock</x:v>
      </x:c>
      <x:c r="E81" t="str">
        <x:v>Screening Tier 1-type slurry CH4, cool climate</x:v>
      </x:c>
    </x:row>
    <x:row r="82">
      <x:c r="A82" t="str">
        <x:v>p_gwp_ch4</x:v>
      </x:c>
      <x:c r="B82" t="n">
        <x:v>27</x:v>
      </x:c>
      <x:c r="C82" t="str">
        <x:v>kgCO2e/kgCH4</x:v>
      </x:c>
      <x:c r="D82" t="str">
        <x:v>Livestock</x:v>
      </x:c>
      <x:c r="E82" t="str">
        <x:v>IPCC AR6 GWP100, non-fossil methane</x:v>
      </x:c>
    </x:row>
    <x:row r="83">
      <x:c r="A83" t="str">
        <x:v>p_cattle_fed_share</x:v>
      </x:c>
      <x:c r="B83" t="n">
        <x:v>0.7</x:v>
      </x:c>
      <x:c r="C83" t="str">
        <x:v>share of cattle-days</x:v>
      </x:c>
      <x:c r="D83" t="str">
        <x:v>Livestock</x:v>
      </x:c>
      <x:c r="E83" t="str">
        <x:v>Screening: share of cattle on a ration that can carry a daily additive</x:v>
      </x:c>
    </x:row>
    <x:row r="84">
      <x:c r="A84" t="str">
        <x:v>p_additive_eff</x:v>
      </x:c>
      <x:c r="B84" t="n">
        <x:v>0</x:v>
      </x:c>
      <x:c r="C84" t="str">
        <x:v>fraction of enteric CH4</x:v>
      </x:c>
      <x:c r="D84" t="str">
        <x:v>Livestock</x:v>
      </x:c>
      <x:c r="E84" t="str">
        <x:v>No enteric-methane credit in the central case because the area-scaled cattle count is not disaggregated into animals covered by the current EU 3-NOP authorisation. Sensitivities include 30% 3-NOP efficacy on 70% of cattle-days and 80% Asparagopsis efficacy.</x:v>
      </x:c>
    </x:row>
    <x:row r="85">
      <x:c r="A85" t="str">
        <x:v>p_slurry_collect</x:v>
      </x:c>
      <x:c r="B85" t="n">
        <x:v>1</x:v>
      </x:c>
      <x:c r="C85" t="str">
        <x:v>share of pig slurry</x:v>
      </x:c>
      <x:c r="D85" t="str">
        <x:v>Livestock</x:v>
      </x:c>
      <x:c r="E85" t="str">
        <x:v>Project design requirement: all collectable pig slurry is routed promptly to the central anaerobic-digestion facility</x:v>
      </x:c>
    </x:row>
    <x:row r="86">
      <x:c r="A86" t="str">
        <x:v>p_cattle_manure_collect</x:v>
      </x:c>
      <x:c r="B86" t="n">
        <x:v>0.5</x:v>
      </x:c>
      <x:c r="C86" t="str">
        <x:v>share of cattle manure</x:v>
      </x:c>
      <x:c r="D86" t="str">
        <x:v>Livestock</x:v>
      </x:c>
      <x:c r="E86" t="str">
        <x:v>Collectable/housed cattle-manure share; all manure in this share is routed to the central digester; pasture manure remains outside the collection boundary</x:v>
      </x:c>
    </x:row>
    <x:row r="87">
      <x:c r="A87" t="str">
        <x:v>p_digest_avoid</x:v>
      </x:c>
      <x:c r="B87" t="n">
        <x:v>0.9</x:v>
      </x:c>
      <x:c r="C87" t="str">
        <x:v>fraction of routed-manure storage CH4 avoided</x:v>
      </x:c>
      <x:c r="D87" t="str">
        <x:v>Livestock</x:v>
      </x:c>
      <x:c r="E87" t="str">
        <x:v>Central high-quality gas-tight digester assumption; approximately the reduction implied by IPCC 2019 high-productivity anaerobic-digestion factors versus long-retention liquid/slurry storage in cool climates; sensitivity 0.80–0.95</x:v>
      </x:c>
    </x:row>
    <x:row r="88">
      <x:c r="A88" t="str">
        <x:v>p_pig_vs</x:v>
      </x:c>
      <x:c r="B88" t="n">
        <x:v>0.3</x:v>
      </x:c>
      <x:c r="C88" t="str">
        <x:v>kg VS/head-day</x:v>
      </x:c>
      <x:c r="D88" t="str">
        <x:v>Livestock</x:v>
      </x:c>
      <x:c r="E88" t="str">
        <x:v>IPCC 2006 Tier 1, Western Europe swine</x:v>
      </x:c>
    </x:row>
    <x:row r="89">
      <x:c r="A89" t="str">
        <x:v>p_pig_b0</x:v>
      </x:c>
      <x:c r="B89" t="n">
        <x:v>0.45</x:v>
      </x:c>
      <x:c r="C89" t="str">
        <x:v>m3 CH4/kg VS</x:v>
      </x:c>
      <x:c r="D89" t="str">
        <x:v>Livestock</x:v>
      </x:c>
      <x:c r="E89" t="str">
        <x:v>IPCC 2006 Tier 1</x:v>
      </x:c>
    </x:row>
    <x:row r="90">
      <x:c r="A90" t="str">
        <x:v>p_cattle_vs</x:v>
      </x:c>
      <x:c r="B90" t="n">
        <x:v>2.6</x:v>
      </x:c>
      <x:c r="C90" t="str">
        <x:v>kg VS/head-day</x:v>
      </x:c>
      <x:c r="D90" t="str">
        <x:v>Livestock</x:v>
      </x:c>
      <x:c r="E90" t="str">
        <x:v>IPCC 2006 Tier 1, Western Europe other cattle</x:v>
      </x:c>
    </x:row>
    <x:row r="91">
      <x:c r="A91" t="str">
        <x:v>p_cattle_b0</x:v>
      </x:c>
      <x:c r="B91" t="n">
        <x:v>0.18</x:v>
      </x:c>
      <x:c r="C91" t="str">
        <x:v>m3 CH4/kg VS</x:v>
      </x:c>
      <x:c r="D91" t="str">
        <x:v>Livestock</x:v>
      </x:c>
      <x:c r="E91" t="str">
        <x:v>IPCC 2006 Tier 1</x:v>
      </x:c>
    </x:row>
    <x:row r="92">
      <x:c r="A92" t="str">
        <x:v>p_digester_yield</x:v>
      </x:c>
      <x:c r="B92" t="n">
        <x:v>0.6</x:v>
      </x:c>
      <x:c r="C92" t="str">
        <x:v>fraction of B0 realised</x:v>
      </x:c>
      <x:c r="D92" t="str">
        <x:v>Livestock</x:v>
      </x:c>
      <x:c r="E92" t="str">
        <x:v>Screening mesophilic digester performance</x:v>
      </x:c>
    </x:row>
    <x:row r="93">
      <x:c r="A93" t="str">
        <x:v>p_ch4_kwh_m3</x:v>
      </x:c>
      <x:c r="B93" t="n">
        <x:v>9.97</x:v>
      </x:c>
      <x:c r="C93" t="str">
        <x:v>kWh/m3</x:v>
      </x:c>
      <x:c r="D93" t="str">
        <x:v>Livestock</x:v>
      </x:c>
      <x:c r="E93" t="str">
        <x:v>Methane lower heating value</x:v>
      </x:c>
    </x:row>
    <x:row r="94">
      <x:c r="A94" t="str">
        <x:v>p_ch4_kg_m3</x:v>
      </x:c>
      <x:c r="B94" t="n">
        <x:v>0.717</x:v>
      </x:c>
      <x:c r="C94" t="str">
        <x:v>kg/m3</x:v>
      </x:c>
      <x:c r="D94" t="str">
        <x:v>Livestock</x:v>
      </x:c>
      <x:c r="E94" t="str">
        <x:v>Methane density at 0 °C</x:v>
      </x:c>
    </x:row>
    <x:row r="95">
      <x:c r="A95" t="str">
        <x:v>p_leak</x:v>
      </x:c>
      <x:c r="B95" t="n">
        <x:v>0.03</x:v>
      </x:c>
      <x:c r="C95" t="str">
        <x:v>fraction of gross biogas CH4</x:v>
      </x:c>
      <x:c r="D95" t="str">
        <x:v>Livestock</x:v>
      </x:c>
      <x:c r="E95" t="str">
        <x:v>Central 3% additional methane loss for upgrading, compression and piping beyond the digester-management factor; sensitivity 1–6%. Together with residual managed-manure methane, this gives a central managed-manure/biomethane-chain methane residual of about 5.8% of gross methane production, close to the 5.4% mean measured across 31 European biogas plants by Olczak et al. (2026).</x:v>
      </x:c>
    </x:row>
    <x:row r="96">
      <x:c r="A96" t="str">
        <x:v>p_pig_slurry_t_head_yr</x:v>
      </x:c>
      <x:c r="B96" t="n">
        <x:v>1.3</x:v>
      </x:c>
      <x:c r="C96" t="str">
        <x:v>t/head-yr</x:v>
      </x:c>
      <x:c r="D96" t="str">
        <x:v>Livestock logistics</x:v>
      </x:c>
      <x:c r="E96" t="str">
        <x:v>Screening midpoint of 1.1–1.5 m3/head-yr for finisher pig slurry in European/Spanish BAT literature; density approximated as 1 t/m3</x:v>
      </x:c>
    </x:row>
    <x:row r="97">
      <x:c r="A97" t="str">
        <x:v>p_cattle_manure_t_head_yr</x:v>
      </x:c>
      <x:c r="B97" t="n">
        <x:v>7.3</x:v>
      </x:c>
      <x:c r="C97" t="str">
        <x:v>t/head-yr</x:v>
      </x:c>
      <x:c r="D97" t="str">
        <x:v>Livestock logistics</x:v>
      </x:c>
      <x:c r="E97" t="str">
        <x:v>Screening bovine manure production factor; applied only to the housed/collectable share</x:v>
      </x:c>
    </x:row>
    <x:row r="98">
      <x:c r="A98" t="str">
        <x:v>p_slurry_haul_oneway_km</x:v>
      </x:c>
      <x:c r="B98" t="n">
        <x:v>20</x:v>
      </x:c>
      <x:c r="C98" t="str">
        <x:v>km</x:v>
      </x:c>
      <x:c r="D98" t="str">
        <x:v>Livestock logistics</x:v>
      </x:c>
      <x:c r="E98" t="str">
        <x:v>Screening average one-way haul to a corridor-scale central digester; requires farm-specific routing before field implementation</x:v>
      </x:c>
    </x:row>
    <x:row r="99">
      <x:c r="A99" t="str">
        <x:v>p_alf_wet_t</x:v>
      </x:c>
      <x:c r="B99" t="n">
        <x:v>110600</x:v>
      </x:c>
      <x:c r="C99" t="str">
        <x:v>t/yr</x:v>
      </x:c>
      <x:c r="D99" t="str">
        <x:v>Value chain</x:v>
      </x:c>
      <x:c r="E99" t="str">
        <x:v>Project design: wilted alfalfa to the dehydration line (≈62% moisture implied by the water balance)</x:v>
      </x:c>
    </x:row>
    <x:row r="100">
      <x:c r="A100" t="str">
        <x:v>p_alf_water_t</x:v>
      </x:c>
      <x:c r="B100" t="n">
        <x:v>63399</x:v>
      </x:c>
      <x:c r="C100" t="str">
        <x:v>t/yr</x:v>
      </x:c>
      <x:c r="D100" t="str">
        <x:v>Value chain</x:v>
      </x:c>
      <x:c r="E100" t="str">
        <x:v>Project design: water evaporated</x:v>
      </x:c>
    </x:row>
    <x:row r="101">
      <x:c r="A101" t="str">
        <x:v>p_dryer_mj_kg</x:v>
      </x:c>
      <x:c r="B101" t="n">
        <x:v>4</x:v>
      </x:c>
      <x:c r="C101" t="str">
        <x:v>MJ fuel/kg water</x:v>
      </x:c>
      <x:c r="D101" t="str">
        <x:v>Value chain</x:v>
      </x:c>
      <x:c r="E101" t="str">
        <x:v>Reference gas-fired rotary-drum dehydrator specific fuel use (range 3.5–4.5)</x:v>
      </x:c>
    </x:row>
    <x:row r="102">
      <x:c r="A102" t="str">
        <x:v>p_haul_ref_km</x:v>
      </x:c>
      <x:c r="B102" t="n">
        <x:v>300</x:v>
      </x:c>
      <x:c r="C102" t="str">
        <x:v>km</x:v>
      </x:c>
      <x:c r="D102" t="str">
        <x:v>Value chain</x:v>
      </x:c>
      <x:c r="E102" t="str">
        <x:v>Reference haul to Ebro-valley dehydrators (project website)</x:v>
      </x:c>
    </x:row>
    <x:row r="103">
      <x:c r="A103" t="str">
        <x:v>p_haul_proj_km</x:v>
      </x:c>
      <x:c r="B103" t="n">
        <x:v>30</x:v>
      </x:c>
      <x:c r="C103" t="str">
        <x:v>km</x:v>
      </x:c>
      <x:c r="D103" t="str">
        <x:v>Value chain</x:v>
      </x:c>
      <x:c r="E103" t="str">
        <x:v>Project haul</x:v>
      </x:c>
    </x:row>
    <x:row r="104">
      <x:c r="A104" t="str">
        <x:v>p_truck_kg_tkm</x:v>
      </x:c>
      <x:c r="B104" t="n">
        <x:v>0.09</x:v>
      </x:c>
      <x:c r="C104" t="str">
        <x:v>kgCO2e/t-km</x:v>
      </x:c>
      <x:c r="D104" t="str">
        <x:v>Value chain</x:v>
      </x:c>
      <x:c r="E104" t="str">
        <x:v>Smart Freight Centre GLEC Framework v3, Table 8: rounded European articulated-road-freight WTW screening factor (~0.089–0.095 kgCO2e/t-km depending vehicle/load)</x:v>
      </x:c>
    </x:row>
    <x:row r="105">
      <x:c r="A105" t="str">
        <x:v>p_sbm_kg_day</x:v>
      </x:c>
      <x:c r="B105" t="n">
        <x:v>1</x:v>
      </x:c>
      <x:c r="C105" t="str">
        <x:v>kg/head-day</x:v>
      </x:c>
      <x:c r="D105" t="str">
        <x:v>Value chain</x:v>
      </x:c>
      <x:c r="E105" t="str">
        <x:v>Screening soybean meal replaced in supplementable cattle rations</x:v>
      </x:c>
    </x:row>
    <x:row r="106">
      <x:c r="A106" t="str">
        <x:v>p_alf_per_sbm</x:v>
      </x:c>
      <x:c r="B106" t="n">
        <x:v>2.7</x:v>
      </x:c>
      <x:c r="C106" t="str">
        <x:v>kg alfalfa/kg SBM</x:v>
      </x:c>
      <x:c r="D106" t="str">
        <x:v>Value chain</x:v>
      </x:c>
      <x:c r="E106" t="str">
        <x:v>Crude-protein equivalence (~46% vs ~17% CP)</x:v>
      </x:c>
    </x:row>
    <x:row r="107">
      <x:c r="A107" t="str">
        <x:v>p_ef_sbm</x:v>
      </x:c>
      <x:c r="B107" t="n">
        <x:v>1.5</x:v>
      </x:c>
      <x:c r="C107" t="str">
        <x:v>kgCO2e/kg</x:v>
      </x:c>
      <x:c r="D107" t="str">
        <x:v>Value chain</x:v>
      </x:c>
      <x:c r="E107" t="str">
        <x:v>Screening imported soybean meal incl. partial land-use change</x:v>
      </x:c>
    </x:row>
    <x:row r="108">
      <x:c r="A108" t="str">
        <x:v>p_ef_alf</x:v>
      </x:c>
      <x:c r="B108" t="n">
        <x:v>0.1</x:v>
      </x:c>
      <x:c r="C108" t="str">
        <x:v>kgCO2e/kg</x:v>
      </x:c>
      <x:c r="D108" t="str">
        <x:v>Value chain</x:v>
      </x:c>
      <x:c r="E108" t="str">
        <x:v>Screening local alfalfa dried with recovered heat</x:v>
      </x:c>
    </x:row>
    <x:row r="109">
      <x:c r="A109" t="str">
        <x:v>p_yield_kg_m2</x:v>
      </x:c>
      <x:c r="B109" t="n">
        <x:v>45</x:v>
      </x:c>
      <x:c r="C109" t="str">
        <x:v>kg/m2-yr</x:v>
      </x:c>
      <x:c r="D109" t="str">
        <x:v>Value chain</x:v>
      </x:c>
      <x:c r="E109" t="str">
        <x:v>Project design glasshouse yield</x:v>
      </x:c>
    </x:row>
    <x:row r="110">
      <x:c r="A110" t="str">
        <x:v>p_ef_veg_ref</x:v>
      </x:c>
      <x:c r="B110" t="n">
        <x:v>0.7</x:v>
      </x:c>
      <x:c r="C110" t="str">
        <x:v>kgCO2e/kg</x:v>
      </x:c>
      <x:c r="D110" t="str">
        <x:v>Value chain</x:v>
      </x:c>
      <x:c r="E110" t="str">
        <x:v>Source community model</x:v>
      </x:c>
    </x:row>
    <x:row r="111">
      <x:c r="A111" t="str">
        <x:v>p_ef_veg_proj</x:v>
      </x:c>
      <x:c r="B111" t="n">
        <x:v>0.25</x:v>
      </x:c>
      <x:c r="C111" t="str">
        <x:v>kgCO2e/kg</x:v>
      </x:c>
      <x:c r="D111" t="str">
        <x:v>Value chain</x:v>
      </x:c>
      <x:c r="E111" t="str">
        <x:v>Source community model</x:v>
      </x:c>
    </x:row>
    <x:row r="112">
      <x:c r="A112" t="str">
        <x:v>p_ef_sea_ref</x:v>
      </x:c>
      <x:c r="B112" t="n">
        <x:v>10</x:v>
      </x:c>
      <x:c r="C112" t="str">
        <x:v>kgCO2e/kg</x:v>
      </x:c>
      <x:c r="D112" t="str">
        <x:v>Value chain</x:v>
      </x:c>
      <x:c r="E112" t="str">
        <x:v>Source community model</x:v>
      </x:c>
    </x:row>
    <x:row r="113">
      <x:c r="A113" t="str">
        <x:v>p_ef_sea_proj</x:v>
      </x:c>
      <x:c r="B113" t="n">
        <x:v>3</x:v>
      </x:c>
      <x:c r="C113" t="str">
        <x:v>kgCO2e/kg</x:v>
      </x:c>
      <x:c r="D113" t="str">
        <x:v>Value chain</x:v>
      </x:c>
      <x:c r="E113" t="str">
        <x:v>Source community model</x:v>
      </x:c>
    </x:row>
    <x:row r="114">
      <x:c r="A114" t="str">
        <x:v>p_bread_kg_hh</x:v>
      </x:c>
      <x:c r="B114" t="n">
        <x:v>96</x:v>
      </x:c>
      <x:c r="C114" t="str">
        <x:v>kg/household-yr</x:v>
      </x:c>
      <x:c r="D114" t="str">
        <x:v>Value chain</x:v>
      </x:c>
      <x:c r="E114" t="str">
        <x:v>Source community model</x:v>
      </x:c>
    </x:row>
    <x:row r="115">
      <x:c r="A115" t="str">
        <x:v>p_ef_bread_ref</x:v>
      </x:c>
      <x:c r="B115" t="n">
        <x:v>1</x:v>
      </x:c>
      <x:c r="C115" t="str">
        <x:v>kgCO2e/kg</x:v>
      </x:c>
      <x:c r="D115" t="str">
        <x:v>Value chain</x:v>
      </x:c>
      <x:c r="E115" t="str">
        <x:v>Source community model</x:v>
      </x:c>
    </x:row>
    <x:row r="116">
      <x:c r="A116" t="str">
        <x:v>p_ef_bread_proj</x:v>
      </x:c>
      <x:c r="B116" t="n">
        <x:v>0.5</x:v>
      </x:c>
      <x:c r="C116" t="str">
        <x:v>kgCO2e/kg</x:v>
      </x:c>
      <x:c r="D116" t="str">
        <x:v>Value chain</x:v>
      </x:c>
      <x:c r="E116" t="str">
        <x:v>Source community model</x:v>
      </x:c>
    </x:row>
    <x:row r="117">
      <x:c r="A117" t="str">
        <x:v>p_beef_kg_pc</x:v>
      </x:c>
      <x:c r="B117" t="n">
        <x:v>3.9</x:v>
      </x:c>
      <x:c r="C117" t="str">
        <x:v>kg/person-yr</x:v>
      </x:c>
      <x:c r="D117" t="str">
        <x:v>Value chain</x:v>
      </x:c>
      <x:c r="E117" t="str">
        <x:v>Source community model</x:v>
      </x:c>
    </x:row>
    <x:row r="118">
      <x:c r="A118" t="str">
        <x:v>p_cheese_kg_pc</x:v>
      </x:c>
      <x:c r="B118" t="n">
        <x:v>7.8</x:v>
      </x:c>
      <x:c r="C118" t="str">
        <x:v>kg/person-yr</x:v>
      </x:c>
      <x:c r="D118" t="str">
        <x:v>Value chain</x:v>
      </x:c>
      <x:c r="E118" t="str">
        <x:v>Source community model</x:v>
      </x:c>
    </x:row>
    <x:row r="119">
      <x:c r="A119" t="str">
        <x:v>p_ef_beef</x:v>
      </x:c>
      <x:c r="B119" t="n">
        <x:v>60</x:v>
      </x:c>
      <x:c r="C119" t="str">
        <x:v>kgCO2e/kg</x:v>
      </x:c>
      <x:c r="D119" t="str">
        <x:v>Value chain</x:v>
      </x:c>
      <x:c r="E119" t="str">
        <x:v>Source community model</x:v>
      </x:c>
    </x:row>
    <x:row r="120">
      <x:c r="A120" t="str">
        <x:v>p_ef_cheese</x:v>
      </x:c>
      <x:c r="B120" t="n">
        <x:v>22</x:v>
      </x:c>
      <x:c r="C120" t="str">
        <x:v>kgCO2e/kg</x:v>
      </x:c>
      <x:c r="D120" t="str">
        <x:v>Value chain</x:v>
      </x:c>
      <x:c r="E120" t="str">
        <x:v>Source community model</x:v>
      </x:c>
    </x:row>
    <x:row r="121">
      <x:c r="A121" t="str">
        <x:v>p_beef_red</x:v>
      </x:c>
      <x:c r="B121" t="n">
        <x:v>0.3425</x:v>
      </x:c>
      <x:c r="C121" t="str">
        <x:v>fraction</x:v>
      </x:c>
      <x:c r="D121" t="str">
        <x:v>Value chain</x:v>
      </x:c>
      <x:c r="E121" t="str">
        <x:v>Source community model design case</x:v>
      </x:c>
    </x:row>
    <x:row r="122">
      <x:c r="A122" t="str">
        <x:v>p_cheese_red</x:v>
      </x:c>
      <x:c r="B122" t="n">
        <x:v>0.5375</x:v>
      </x:c>
      <x:c r="C122" t="str">
        <x:v>fraction</x:v>
      </x:c>
      <x:c r="D122" t="str">
        <x:v>Value chain</x:v>
      </x:c>
      <x:c r="E122" t="str">
        <x:v>Source community model design case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82" hidden="0" customWidth="1"/>
  </x:cols>
  <x:sheetData>
    <x:row r="1">
      <x:c r="A1" s="16" t="str">
        <x:v>Name</x:v>
      </x:c>
      <x:c r="B1" s="16" t="str">
        <x:v>Excel formula</x:v>
      </x:c>
      <x:c r="C1" s="16" t="str">
        <x:v>Python value</x:v>
      </x:c>
      <x:c r="D1" s="16" t="str">
        <x:v>Difference</x:v>
      </x:c>
      <x:c r="E1" s="16" t="str">
        <x:v>Unit</x:v>
      </x:c>
      <x:c r="F1" s="16" t="str">
        <x:v>Group</x:v>
      </x:c>
      <x:c r="G1" s="16" t="str">
        <x:v>Description</x:v>
      </x:c>
    </x:row>
    <x:row r="2">
      <x:c r="A2" t="str">
        <x:v>c_pop</x:v>
      </x:c>
      <x:c r="B2" t="n">
        <x:f>SUM(Nodes!$B$2:$B$12)</x:f>
        <x:v>14184</x:v>
      </x:c>
      <x:c r="C2" s="18" t="n">
        <x:v>14184</x:v>
      </x:c>
      <x:c r="D2" s="18" t="n">
        <x:f>B2-C2</x:f>
        <x:v>0</x:v>
      </x:c>
      <x:c r="E2" t="str">
        <x:v>people</x:v>
      </x:c>
      <x:c r="F2" t="str">
        <x:v>Scale</x:v>
      </x:c>
      <x:c r="G2" t="str">
        <x:v>Residents, 13 municipalities</x:v>
      </x:c>
    </x:row>
    <x:row r="3">
      <x:c r="A3" t="str">
        <x:v>c_it_mw</x:v>
      </x:c>
      <x:c r="B3" t="n">
        <x:f>SUM(Nodes!$C$2:$C$12)</x:f>
        <x:v>63.96</x:v>
      </x:c>
      <x:c r="C3" s="18" t="n">
        <x:v>63.96</x:v>
      </x:c>
      <x:c r="D3" s="18" t="n">
        <x:f>B3-C3</x:f>
        <x:v>0</x:v>
      </x:c>
      <x:c r="E3" t="str">
        <x:v>MW</x:v>
      </x:c>
      <x:c r="F3" t="str">
        <x:v>Scale</x:v>
      </x:c>
      <x:c r="G3" t="str">
        <x:v>Continuous IT load, 11 nodes</x:v>
      </x:c>
    </x:row>
    <x:row r="4">
      <x:c r="A4" t="str">
        <x:v>c_area_km2</x:v>
      </x:c>
      <x:c r="B4" t="n">
        <x:f>SUM(Nodes!$D$2:$D$12)</x:f>
        <x:v>1035.38</x:v>
      </x:c>
      <x:c r="C4" s="18" t="n">
        <x:v>1035.3799999999999</x:v>
      </x:c>
      <x:c r="D4" s="18" t="n">
        <x:f>B4-C4</x:f>
        <x:v>2.2737367544323206e-13</x:v>
      </x:c>
      <x:c r="E4" t="str">
        <x:v>km2</x:v>
      </x:c>
      <x:c r="F4" t="str">
        <x:v>Scale</x:v>
      </x:c>
      <x:c r="G4" t="str">
        <x:v>Municipal area, 13 municipalities</x:v>
      </x:c>
    </x:row>
    <x:row r="5">
      <x:c r="A5" t="str">
        <x:v>c_hh</x:v>
      </x:c>
      <x:c r="B5" t="n">
        <x:f>ROUND(Parameters!$B$3/Parameters!$B$2*$B$2,0)</x:f>
        <x:v>5998</x:v>
      </x:c>
      <x:c r="C5" s="18" t="n">
        <x:v>5998</x:v>
      </x:c>
      <x:c r="D5" s="18" t="n">
        <x:f>B5-C5</x:f>
        <x:v>0</x:v>
      </x:c>
      <x:c r="E5" t="str">
        <x:v>households</x:v>
      </x:c>
      <x:c r="F5" t="str">
        <x:v>Scale</x:v>
      </x:c>
      <x:c r="G5" t="str">
        <x:v>Households, scaled</x:v>
      </x:c>
    </x:row>
    <x:row r="6">
      <x:c r="A6" t="str">
        <x:v>c_dh_hh</x:v>
      </x:c>
      <x:c r="B6" t="n">
        <x:f>ROUND(Parameters!$B$4/Parameters!$B$3*$B$5,0)</x:f>
        <x:v>4934</x:v>
      </x:c>
      <x:c r="C6" s="18" t="n">
        <x:v>4934</x:v>
      </x:c>
      <x:c r="D6" s="18" t="n">
        <x:f>B6-C6</x:f>
        <x:v>0</x:v>
      </x:c>
      <x:c r="E6" t="str">
        <x:v>households</x:v>
      </x:c>
      <x:c r="F6" t="str">
        <x:v>Scale</x:v>
      </x:c>
      <x:c r="G6" t="str">
        <x:v>Households on district heating</x:v>
      </x:c>
    </x:row>
    <x:row r="7">
      <x:c r="A7" t="str">
        <x:v>c_nondh_hh</x:v>
      </x:c>
      <x:c r="B7" t="n">
        <x:f>$B$5-$B$6</x:f>
        <x:v>1064</x:v>
      </x:c>
      <x:c r="C7" s="18" t="n">
        <x:v>1064</x:v>
      </x:c>
      <x:c r="D7" s="18" t="n">
        <x:f>B7-C7</x:f>
        <x:v>0</x:v>
      </x:c>
      <x:c r="E7" t="str">
        <x:v>households</x:v>
      </x:c>
      <x:c r="F7" t="str">
        <x:v>Scale</x:v>
      </x:c>
      <x:c r="G7" t="str">
        <x:v>Households off district heating</x:v>
      </x:c>
    </x:row>
    <x:row r="8">
      <x:c r="A8" t="str">
        <x:v>c_veh</x:v>
      </x:c>
      <x:c r="B8" t="n">
        <x:f>ROUND(Parameters!$B$5/Parameters!$B$2*$B$2,0)</x:f>
        <x:v>6996</x:v>
      </x:c>
      <x:c r="C8" s="18" t="n">
        <x:v>6996</x:v>
      </x:c>
      <x:c r="D8" s="18" t="n">
        <x:f>B8-C8</x:f>
        <x:v>0</x:v>
      </x:c>
      <x:c r="E8" t="str">
        <x:v>vehicles</x:v>
      </x:c>
      <x:c r="F8" t="str">
        <x:v>Scale</x:v>
      </x:c>
      <x:c r="G8" t="str">
        <x:v>Vehicles</x:v>
      </x:c>
    </x:row>
    <x:row r="9">
      <x:c r="A9" t="str">
        <x:v>c_area_scale</x:v>
      </x:c>
      <x:c r="B9" t="n">
        <x:f>$B$4/Parameters!$B$66</x:f>
        <x:v>0.5358832358573573</x:v>
      </x:c>
      <x:c r="C9" s="18" t="n">
        <x:v>0.5358832358573572</x:v>
      </x:c>
      <x:c r="D9" s="18" t="n">
        <x:f>B9-C9</x:f>
        <x:v>1.1102230246251565e-16</x:v>
      </x:c>
      <x:c r="E9" t="str">
        <x:v>ratio</x:v>
      </x:c>
      <x:c r="F9" t="str">
        <x:v>Scale</x:v>
      </x:c>
      <x:c r="G9" t="str">
        <x:v>Corridor/comarca area ratio (livestock and farmland proxy)</x:v>
      </x:c>
    </x:row>
    <x:row r="10">
      <x:c r="A10" t="str">
        <x:v>c_heat_useful_gwh</x:v>
      </x:c>
      <x:c r="B10" t="n">
        <x:f>$B$5*Parameters!$B$7/1000000</x:f>
        <x:v>108.2639</x:v>
      </x:c>
      <x:c r="C10" s="18" t="n">
        <x:v>108.2639</x:v>
      </x:c>
      <x:c r="D10" s="18" t="n">
        <x:f>B10-C10</x:f>
        <x:v>0</x:v>
      </x:c>
      <x:c r="E10" t="str">
        <x:v>GWh</x:v>
      </x:c>
      <x:c r="F10" t="str">
        <x:v>Energy</x:v>
      </x:c>
      <x:c r="G10" t="str">
        <x:v>Useful space heat, all households</x:v>
      </x:c>
    </x:row>
    <x:row r="11">
      <x:c r="A11" t="str">
        <x:v>c_dh_useful_gwh</x:v>
      </x:c>
      <x:c r="B11" t="n">
        <x:f>$B$6*Parameters!$B$7/1000000</x:f>
        <x:v>89.0587</x:v>
      </x:c>
      <x:c r="C11" s="18" t="n">
        <x:v>89.0587</x:v>
      </x:c>
      <x:c r="D11" s="18" t="n">
        <x:f>B11-C11</x:f>
        <x:v>0</x:v>
      </x:c>
      <x:c r="E11" t="str">
        <x:v>GWh</x:v>
      </x:c>
      <x:c r="F11" t="str">
        <x:v>Energy</x:v>
      </x:c>
      <x:c r="G11" t="str">
        <x:v>Useful heat from recovered data-centre heat</x:v>
      </x:c>
    </x:row>
    <x:row r="12">
      <x:c r="A12" t="str">
        <x:v>c_nondh_useful_gwh</x:v>
      </x:c>
      <x:c r="B12" t="n">
        <x:f>$B$7*Parameters!$B$7/1000000</x:f>
        <x:v>19.2052</x:v>
      </x:c>
      <x:c r="C12" s="18" t="n">
        <x:v>19.2052</x:v>
      </x:c>
      <x:c r="D12" s="18" t="n">
        <x:f>B12-C12</x:f>
        <x:v>0</x:v>
      </x:c>
      <x:c r="E12" t="str">
        <x:v>GWh</x:v>
      </x:c>
      <x:c r="F12" t="str">
        <x:v>Energy</x:v>
      </x:c>
      <x:c r="G12" t="str">
        <x:v>Useful heat off the heat network</x:v>
      </x:c>
    </x:row>
    <x:row r="13">
      <x:c r="A13" t="str">
        <x:v>c_cook_useful_gwh</x:v>
      </x:c>
      <x:c r="B13" t="n">
        <x:f>$B$5*Parameters!$B$8/1000000</x:f>
        <x:v>8.997</x:v>
      </x:c>
      <x:c r="C13" s="18" t="n">
        <x:v>8.997</x:v>
      </x:c>
      <x:c r="D13" s="18" t="n">
        <x:f>B13-C13</x:f>
        <x:v>0</x:v>
      </x:c>
      <x:c r="E13" t="str">
        <x:v>GWh</x:v>
      </x:c>
      <x:c r="F13" t="str">
        <x:v>Energy</x:v>
      </x:c>
      <x:c r="G13" t="str">
        <x:v>Useful cooking energy</x:v>
      </x:c>
    </x:row>
    <x:row r="14">
      <x:c r="A14" t="str">
        <x:v>c_cook_fuel_gwh</x:v>
      </x:c>
      <x:c r="B14" t="n">
        <x:f>$B$13/Parameters!$B$9</x:f>
        <x:v>9.996666666666666</x:v>
      </x:c>
      <x:c r="C14" s="18" t="n">
        <x:v>9.996666666666666</x:v>
      </x:c>
      <x:c r="D14" s="18" t="n">
        <x:f>B14-C14</x:f>
        <x:v>0</x:v>
      </x:c>
      <x:c r="E14" t="str">
        <x:v>GWh</x:v>
      </x:c>
      <x:c r="F14" t="str">
        <x:v>Energy</x:v>
      </x:c>
      <x:c r="G14" t="str">
        <x:v>Cooking gas demand if all on gas</x:v>
      </x:c>
    </x:row>
    <x:row r="15">
      <x:c r="A15" t="str">
        <x:v>c_hh_elec_gwh</x:v>
      </x:c>
      <x:c r="B15" t="n">
        <x:f>$B$5*Parameters!$B$6/1000000</x:f>
        <x:v>16.3841368</x:v>
      </x:c>
      <x:c r="C15" s="18" t="n">
        <x:v>16.3841368</x:v>
      </x:c>
      <x:c r="D15" s="18" t="n">
        <x:f>B15-C15</x:f>
        <x:v>0</x:v>
      </x:c>
      <x:c r="E15" t="str">
        <x:v>GWh</x:v>
      </x:c>
      <x:c r="F15" t="str">
        <x:v>Energy</x:v>
      </x:c>
      <x:c r="G15" t="str">
        <x:v>Household electricity</x:v>
      </x:c>
    </x:row>
    <x:row r="16">
      <x:c r="A16" t="str">
        <x:v>c_veh_km</x:v>
      </x:c>
      <x:c r="B16" t="n">
        <x:f>$B$8*Parameters!$B$38</x:f>
        <x:v>83952000</x:v>
      </x:c>
      <x:c r="C16" s="18" t="n">
        <x:v>83952000</x:v>
      </x:c>
      <x:c r="D16" s="18" t="n">
        <x:f>B16-C16</x:f>
        <x:v>0</x:v>
      </x:c>
      <x:c r="E16" t="str">
        <x:v>vehicle-km</x:v>
      </x:c>
      <x:c r="F16" t="str">
        <x:v>Energy</x:v>
      </x:c>
      <x:c r="G16" t="str">
        <x:v>Annual vehicle-km</x:v>
      </x:c>
    </x:row>
    <x:row r="17">
      <x:c r="A17" t="str">
        <x:v>c_ev_elec_gwh</x:v>
      </x:c>
      <x:c r="B17" t="n">
        <x:f>$B$16*(Parameters!$B$42+Parameters!$B$43*Parameters!$B$44)*Parameters!$B$45*(1+Parameters!$B$46)/1000000</x:f>
        <x:v>15.95759616</x:v>
      </x:c>
      <x:c r="C17" s="18" t="n">
        <x:v>15.95759616</x:v>
      </x:c>
      <x:c r="D17" s="18" t="n">
        <x:f>B17-C17</x:f>
        <x:v>0</x:v>
      </x:c>
      <x:c r="E17" t="str">
        <x:v>GWh</x:v>
      </x:c>
      <x:c r="F17" t="str">
        <x:v>Energy</x:v>
      </x:c>
      <x:c r="G17" t="str">
        <x:v>Free charging electricity</x:v>
      </x:c>
    </x:row>
    <x:row r="18">
      <x:c r="A18" t="str">
        <x:v>c_phev_fuel_l</x:v>
      </x:c>
      <x:c r="B18" t="n">
        <x:f>$B$16*Parameters!$B$43*(1-Parameters!$B$44)*Parameters!$B$39/100</x:f>
        <x:v>251856</x:v>
      </x:c>
      <x:c r="C18" s="18" t="n">
        <x:v>251856</x:v>
      </x:c>
      <x:c r="D18" s="18" t="n">
        <x:f>B18-C18</x:f>
        <x:v>0</x:v>
      </x:c>
      <x:c r="E18" t="str">
        <x:v>L</x:v>
      </x:c>
      <x:c r="F18" t="str">
        <x:v>Energy</x:v>
      </x:c>
      <x:c r="G18" t="str">
        <x:v>Renewable gasoline, PHEV engine km</x:v>
      </x:c>
    </x:row>
    <x:row r="19">
      <x:c r="A19" t="str">
        <x:v>c_bus_elec_gwh</x:v>
      </x:c>
      <x:c r="B19" t="n">
        <x:f>Parameters!$B$48*Parameters!$B$49/1000000</x:f>
        <x:v>0.325</x:v>
      </x:c>
      <x:c r="C19" s="18" t="n">
        <x:v>0.325</x:v>
      </x:c>
      <x:c r="D19" s="18" t="n">
        <x:f>B19-C19</x:f>
        <x:v>0</x:v>
      </x:c>
      <x:c r="E19" t="str">
        <x:v>GWh</x:v>
      </x:c>
      <x:c r="F19" t="str">
        <x:v>Energy</x:v>
      </x:c>
      <x:c r="G19" t="str">
        <x:v>Electric bus</x:v>
      </x:c>
    </x:row>
    <x:row r="20">
      <x:c r="A20" t="str">
        <x:v>c_cult_ha</x:v>
      </x:c>
      <x:c r="B20" t="n">
        <x:f>Parameters!$B$67*$B$9</x:f>
        <x:v>27187.500087987166</x:v>
      </x:c>
      <x:c r="C20" s="18" t="n">
        <x:v>27187.50008798716</x:v>
      </x:c>
      <x:c r="D20" s="18" t="n">
        <x:f>B20-C20</x:f>
        <x:v>7.275957614183426e-12</x:v>
      </x:c>
      <x:c r="E20" t="str">
        <x:v>ha</x:v>
      </x:c>
      <x:c r="F20" t="str">
        <x:v>Energy</x:v>
      </x:c>
      <x:c r="G20" t="str">
        <x:v>Cultivated area, area-scaled</x:v>
      </x:c>
    </x:row>
    <x:row r="21">
      <x:c r="A21" t="str">
        <x:v>c_farm_diesel_l</x:v>
      </x:c>
      <x:c r="B21" t="n">
        <x:f>$B$20*Parameters!$B$68</x:f>
        <x:v>2175000.0070389733</x:v>
      </x:c>
      <x:c r="C21" s="18" t="n">
        <x:v>2175000.007038973</x:v>
      </x:c>
      <x:c r="D21" s="18" t="n">
        <x:f>B21-C21</x:f>
        <x:v>4.656612873077393e-10</x:v>
      </x:c>
      <x:c r="E21" t="str">
        <x:v>L</x:v>
      </x:c>
      <x:c r="F21" t="str">
        <x:v>Energy</x:v>
      </x:c>
      <x:c r="G21" t="str">
        <x:v>Farm machinery fuel</x:v>
      </x:c>
    </x:row>
    <x:row r="22">
      <x:c r="A22" t="str">
        <x:v>c_farm_energy_gwh</x:v>
      </x:c>
      <x:c r="B22" t="n">
        <x:f>$B$21*Parameters!$B$29/1000000</x:f>
        <x:v>21.689100070192637</x:v>
      </x:c>
      <x:c r="C22" s="18" t="n">
        <x:v>21.689100070192634</x:v>
      </x:c>
      <x:c r="D22" s="18" t="n">
        <x:f>B22-C22</x:f>
        <x:v>3.552713678800501e-15</x:v>
      </x:c>
      <x:c r="E22" t="str">
        <x:v>GWh</x:v>
      </x:c>
      <x:c r="F22" t="str">
        <x:v>Energy</x:v>
      </x:c>
      <x:c r="G22" t="str">
        <x:v>Farm machinery fuel energy</x:v>
      </x:c>
    </x:row>
    <x:row r="23">
      <x:c r="A23" t="str">
        <x:v>c_bread_t</x:v>
      </x:c>
      <x:c r="B23" t="n">
        <x:f>$B$5*Parameters!$B$114/1000</x:f>
        <x:v>575.808</x:v>
      </x:c>
      <x:c r="C23" s="18" t="n">
        <x:v>575.808</x:v>
      </x:c>
      <x:c r="D23" s="18" t="n">
        <x:f>B23-C23</x:f>
        <x:v>0</x:v>
      </x:c>
      <x:c r="E23" t="str">
        <x:v>t</x:v>
      </x:c>
      <x:c r="F23" t="str">
        <x:v>Energy</x:v>
      </x:c>
      <x:c r="G23" t="str">
        <x:v>Bread</x:v>
      </x:c>
    </x:row>
    <x:row r="24">
      <x:c r="A24" t="str">
        <x:v>c_food_elec_gwh</x:v>
      </x:c>
      <x:c r="B24" t="n">
        <x:f>(Parameters!$B$58*Parameters!$B$61*1000+Parameters!$B$56*10000*Parameters!$B$62)/1000000</x:f>
        <x:v>43.5175</x:v>
      </x:c>
      <x:c r="C24" s="18" t="n">
        <x:v>43.5175</x:v>
      </x:c>
      <x:c r="D24" s="18" t="n">
        <x:f>B24-C24</x:f>
        <x:v>0</x:v>
      </x:c>
      <x:c r="E24" t="str">
        <x:v>GWh</x:v>
      </x:c>
      <x:c r="F24" t="str">
        <x:v>Energy</x:v>
      </x:c>
      <x:c r="G24" t="str">
        <x:v>Aquaculture and glasshouse electricity</x:v>
      </x:c>
    </x:row>
    <x:row r="25">
      <x:c r="A25" t="str">
        <x:v>c_it_gwh</x:v>
      </x:c>
      <x:c r="B25" t="n">
        <x:f>$B$3*8.76</x:f>
        <x:v>560.2896</x:v>
      </x:c>
      <x:c r="C25" s="18" t="n">
        <x:v>560.2896</x:v>
      </x:c>
      <x:c r="D25" s="18" t="n">
        <x:f>B25-C25</x:f>
        <x:v>0</x:v>
      </x:c>
      <x:c r="E25" t="str">
        <x:v>GWh</x:v>
      </x:c>
      <x:c r="F25" t="str">
        <x:v>Compute</x:v>
      </x:c>
      <x:c r="G25" t="str">
        <x:v>IT energy</x:v>
      </x:c>
    </x:row>
    <x:row r="26">
      <x:c r="A26" t="str">
        <x:v>c_dc_gwh</x:v>
      </x:c>
      <x:c r="B26" t="n">
        <x:f>$B$25*Parameters!$B$50</x:f>
        <x:v>644.3330399999999</x:v>
      </x:c>
      <x:c r="C26" s="18" t="n">
        <x:v>644.3330399999999</x:v>
      </x:c>
      <x:c r="D26" s="18" t="n">
        <x:f>B26-C26</x:f>
        <x:v>0</x:v>
      </x:c>
      <x:c r="E26" t="str">
        <x:v>GWh</x:v>
      </x:c>
      <x:c r="F26" t="str">
        <x:v>Compute</x:v>
      </x:c>
      <x:c r="G26" t="str">
        <x:v>Facility electricity, distributed</x:v>
      </x:c>
    </x:row>
    <x:row r="27">
      <x:c r="A27" t="str">
        <x:v>c_net_gwh</x:v>
      </x:c>
      <x:c r="B27" t="n">
        <x:f>$B$25*Parameters!$B$52</x:f>
        <x:v>5.602895999999999</x:v>
      </x:c>
      <x:c r="C27" s="18" t="n">
        <x:v>5.602895999999999</x:v>
      </x:c>
      <x:c r="D27" s="18" t="n">
        <x:f>B27-C27</x:f>
        <x:v>0</x:v>
      </x:c>
      <x:c r="E27" t="str">
        <x:v>GWh</x:v>
      </x:c>
      <x:c r="F27" t="str">
        <x:v>Compute</x:v>
      </x:c>
      <x:c r="G27" t="str">
        <x:v>Inter-site network electricity</x:v>
      </x:c>
    </x:row>
    <x:row r="28">
      <x:c r="A28" t="str">
        <x:v>c_recoverable_gwh</x:v>
      </x:c>
      <x:c r="B28" t="n">
        <x:f>$B$25*Parameters!$B$53</x:f>
        <x:v>493.05484799999994</x:v>
      </x:c>
      <x:c r="C28" s="18" t="n">
        <x:v>493.05484799999994</x:v>
      </x:c>
      <x:c r="D28" s="18" t="n">
        <x:f>B28-C28</x:f>
        <x:v>0</x:v>
      </x:c>
      <x:c r="E28" t="str">
        <x:v>GWh</x:v>
      </x:c>
      <x:c r="F28" t="str">
        <x:v>Compute</x:v>
      </x:c>
      <x:c r="G28" t="str">
        <x:v>Recoverable heat at the liquid loop</x:v>
      </x:c>
    </x:row>
    <x:row r="29">
      <x:c r="A29" t="str">
        <x:v>c_dh_lift_gwh</x:v>
      </x:c>
      <x:c r="B29" t="n">
        <x:f>$B$11*Parameters!$B$54</x:f>
        <x:v>12.648414591439689</x:v>
      </x:c>
      <x:c r="C29" s="18" t="n">
        <x:v>12.648414591439689</x:v>
      </x:c>
      <x:c r="D29" s="18" t="n">
        <x:f>B29-C29</x:f>
        <x:v>0</x:v>
      </x:c>
      <x:c r="E29" t="str">
        <x:v>GWh</x:v>
      </x:c>
      <x:c r="F29" t="str">
        <x:v>Compute</x:v>
      </x:c>
      <x:c r="G29" t="str">
        <x:v>District-heating lift electricity</x:v>
      </x:c>
    </x:row>
    <x:row r="30">
      <x:c r="A30" t="str">
        <x:v>c_dh_pump_gwh</x:v>
      </x:c>
      <x:c r="B30" t="n">
        <x:f>$B$11*Parameters!$B$55</x:f>
        <x:v>1.3358805</x:v>
      </x:c>
      <x:c r="C30" s="18" t="n">
        <x:v>1.3358805</x:v>
      </x:c>
      <x:c r="D30" s="18" t="n">
        <x:f>B30-C30</x:f>
        <x:v>0</x:v>
      </x:c>
      <x:c r="E30" t="str">
        <x:v>GWh</x:v>
      </x:c>
      <x:c r="F30" t="str">
        <x:v>Compute</x:v>
      </x:c>
      <x:c r="G30" t="str">
        <x:v>District-heating pumping electricity</x:v>
      </x:c>
    </x:row>
    <x:row r="31">
      <x:c r="A31" t="str">
        <x:v>c_glass_heat_gwh</x:v>
      </x:c>
      <x:c r="B31" t="n">
        <x:f>Parameters!$B$56*Parameters!$B$57</x:f>
        <x:v>54.01627615062762</x:v>
      </x:c>
      <x:c r="C31" s="18" t="n">
        <x:v>54.01627615062762</x:v>
      </x:c>
      <x:c r="D31" s="18" t="n">
        <x:f>B31-C31</x:f>
        <x:v>0</x:v>
      </x:c>
      <x:c r="E31" t="str">
        <x:v>GWh</x:v>
      </x:c>
      <x:c r="F31" t="str">
        <x:v>Compute</x:v>
      </x:c>
      <x:c r="G31" t="str">
        <x:v>Glasshouse heat</x:v>
      </x:c>
    </x:row>
    <x:row r="32">
      <x:c r="A32" t="str">
        <x:v>c_ras_heat_gwh</x:v>
      </x:c>
      <x:c r="B32" t="n">
        <x:f>Parameters!$B$58*Parameters!$B$59/1000</x:f>
        <x:v>93.4187721691678</x:v>
      </x:c>
      <x:c r="C32" s="18" t="n">
        <x:v>93.4187721691678</x:v>
      </x:c>
      <x:c r="D32" s="18" t="n">
        <x:f>B32-C32</x:f>
        <x:v>0</x:v>
      </x:c>
      <x:c r="E32" t="str">
        <x:v>GWh</x:v>
      </x:c>
      <x:c r="F32" t="str">
        <x:v>Compute</x:v>
      </x:c>
      <x:c r="G32" t="str">
        <x:v>Aquaculture heat</x:v>
      </x:c>
    </x:row>
    <x:row r="33">
      <x:c r="A33" t="str">
        <x:v>c_proving_gwh</x:v>
      </x:c>
      <x:c r="B33" t="n">
        <x:f>$B$23*Parameters!$B$60/1000</x:f>
        <x:v>0.1151616</x:v>
      </x:c>
      <x:c r="C33" s="18" t="n">
        <x:v>0.1151616</x:v>
      </x:c>
      <x:c r="D33" s="18" t="n">
        <x:f>B33-C33</x:f>
        <x:v>0</x:v>
      </x:c>
      <x:c r="E33" t="str">
        <x:v>GWh</x:v>
      </x:c>
      <x:c r="F33" t="str">
        <x:v>Compute</x:v>
      </x:c>
      <x:c r="G33" t="str">
        <x:v>Bread proving heat</x:v>
      </x:c>
    </x:row>
    <x:row r="34">
      <x:c r="A34" t="str">
        <x:v>c_dry_total_gwh</x:v>
      </x:c>
      <x:c r="B34" t="n">
        <x:f>Parameters!$B$63+Parameters!$B$64</x:f>
        <x:v>116.89999999999999</x:v>
      </x:c>
      <x:c r="C34" s="18" t="n">
        <x:v>116.89999999999999</x:v>
      </x:c>
      <x:c r="D34" s="18" t="n">
        <x:f>B34-C34</x:f>
        <x:v>0</x:v>
      </x:c>
      <x:c r="E34" t="str">
        <x:v>GWh</x:v>
      </x:c>
      <x:c r="F34" t="str">
        <x:v>Compute</x:v>
      </x:c>
      <x:c r="G34" t="str">
        <x:v>Drying heat delivered</x:v>
      </x:c>
    </x:row>
    <x:row r="35">
      <x:c r="A35" t="str">
        <x:v>c_dry_alf_lift_gwh</x:v>
      </x:c>
      <x:c r="B35" t="n">
        <x:f>Parameters!$B$65*Parameters!$B$63/$B$34</x:f>
        <x:v>10.61840889649273</x:v>
      </x:c>
      <x:c r="C35" s="18" t="n">
        <x:v>10.61840889649273</x:v>
      </x:c>
      <x:c r="D35" s="18" t="n">
        <x:f>B35-C35</x:f>
        <x:v>0</x:v>
      </x:c>
      <x:c r="E35" t="str">
        <x:v>GWh</x:v>
      </x:c>
      <x:c r="F35" t="str">
        <x:v>Compute</x:v>
      </x:c>
      <x:c r="G35" t="str">
        <x:v>Drying lift, alfalfa share</x:v>
      </x:c>
    </x:row>
    <x:row r="36">
      <x:c r="A36" t="str">
        <x:v>c_dry_other_lift_gwh</x:v>
      </x:c>
      <x:c r="B36" t="n">
        <x:f>Parameters!$B$65-$B$35</x:f>
        <x:v>4.98159110350727</x:v>
      </x:c>
      <x:c r="C36" s="18" t="n">
        <x:v>4.98159110350727</x:v>
      </x:c>
      <x:c r="D36" s="18" t="n">
        <x:f>B36-C36</x:f>
        <x:v>0</x:v>
      </x:c>
      <x:c r="E36" t="str">
        <x:v>GWh</x:v>
      </x:c>
      <x:c r="F36" t="str">
        <x:v>Compute</x:v>
      </x:c>
      <x:c r="G36" t="str">
        <x:v>Drying lift, other line</x:v>
      </x:c>
    </x:row>
    <x:row r="37">
      <x:c r="A37" t="str">
        <x:v>c_heat_used_gwh</x:v>
      </x:c>
      <x:c r="B37" t="n">
        <x:f>$B$11+$B$31+$B$32+$B$33+$B$34</x:f>
        <x:v>353.50890991979537</x:v>
      </x:c>
      <x:c r="C37" s="18" t="n">
        <x:v>353.50890991979537</x:v>
      </x:c>
      <x:c r="D37" s="18" t="n">
        <x:f>B37-C37</x:f>
        <x:v>0</x:v>
      </x:c>
      <x:c r="E37" t="str">
        <x:v>GWh</x:v>
      </x:c>
      <x:c r="F37" t="str">
        <x:v>Compute</x:v>
      </x:c>
      <x:c r="G37" t="str">
        <x:v>Heat delivered to productive sinks</x:v>
      </x:c>
    </x:row>
    <x:row r="38">
      <x:c r="A38" t="str">
        <x:v>c_heat_from_loop_gwh</x:v>
      </x:c>
      <x:c r="B38" t="n">
        <x:f>$B$37-$B$29-Parameters!$B$65</x:f>
        <x:v>325.26049532835566</x:v>
      </x:c>
      <x:c r="C38" s="18" t="n">
        <x:v>325.26049532835566</x:v>
      </x:c>
      <x:c r="D38" s="18" t="n">
        <x:f>B38-C38</x:f>
        <x:v>0</x:v>
      </x:c>
      <x:c r="E38" t="str">
        <x:v>GWh</x:v>
      </x:c>
      <x:c r="F38" t="str">
        <x:v>Compute</x:v>
      </x:c>
      <x:c r="G38" t="str">
        <x:v>Of which drawn from the liquid loop</x:v>
      </x:c>
    </x:row>
    <x:row r="39">
      <x:c r="A39" t="str">
        <x:v>c_heat_rejected_gwh</x:v>
      </x:c>
      <x:c r="B39" t="n">
        <x:f>$B$28-$B$38</x:f>
        <x:v>167.79435267164428</x:v>
      </x:c>
      <x:c r="C39" s="18" t="n">
        <x:v>167.79435267164428</x:v>
      </x:c>
      <x:c r="D39" s="18" t="n">
        <x:f>B39-C39</x:f>
        <x:v>0</x:v>
      </x:c>
      <x:c r="E39" t="str">
        <x:v>GWh</x:v>
      </x:c>
      <x:c r="F39" t="str">
        <x:v>Compute</x:v>
      </x:c>
      <x:c r="G39" t="str">
        <x:v>Recoverable heat rejected</x:v>
      </x:c>
    </x:row>
    <x:row r="40">
      <x:c r="A40" t="str">
        <x:v>c_erf</x:v>
      </x:c>
      <x:c r="B40" t="n">
        <x:f>$B$38/($B$26+$B$29+Parameters!$B$65)</x:f>
        <x:v>0.48360015446149274</x:v>
      </x:c>
      <x:c r="C40" s="18" t="n">
        <x:v>0.48360015446149274</x:v>
      </x:c>
      <x:c r="D40" s="18" t="n">
        <x:f>B40-C40</x:f>
        <x:v>0</x:v>
      </x:c>
      <x:c r="E40" t="str">
        <x:v>fraction</x:v>
      </x:c>
      <x:c r="F40" t="str">
        <x:v>Compute</x:v>
      </x:c>
      <x:c r="G40" t="str">
        <x:v>Energy reuse factor (EN 50600-4-6 style)</x:v>
      </x:c>
    </x:row>
    <x:row r="41">
      <x:c r="A41" t="str">
        <x:v>c_cattle</x:v>
      </x:c>
      <x:c r="B41" t="n">
        <x:f>Parameters!$B$70*$B$9</x:f>
        <x:v>1500.4730604006004</x:v>
      </x:c>
      <x:c r="C41" s="18" t="n">
        <x:v>1500.4730604006002</x:v>
      </x:c>
      <x:c r="D41" s="18" t="n">
        <x:f>B41-C41</x:f>
        <x:v>2.2737367544323206e-13</x:v>
      </x:c>
      <x:c r="E41" t="str">
        <x:v>head</x:v>
      </x:c>
      <x:c r="F41" t="str">
        <x:v>Livestock</x:v>
      </x:c>
      <x:c r="G41" t="str">
        <x:v>Cattle</x:v>
      </x:c>
    </x:row>
    <x:row r="42">
      <x:c r="A42" t="str">
        <x:v>c_sheep</x:v>
      </x:c>
      <x:c r="B42" t="n">
        <x:f>Parameters!$B$71*$B$9</x:f>
        <x:v>48765.374463019514</x:v>
      </x:c>
      <x:c r="C42" s="18" t="n">
        <x:v>48765.37446301951</x:v>
      </x:c>
      <x:c r="D42" s="18" t="n">
        <x:f>B42-C42</x:f>
        <x:v>7.275957614183426e-12</x:v>
      </x:c>
      <x:c r="E42" t="str">
        <x:v>head</x:v>
      </x:c>
      <x:c r="F42" t="str">
        <x:v>Livestock</x:v>
      </x:c>
      <x:c r="G42" t="str">
        <x:v>Sheep</x:v>
      </x:c>
    </x:row>
    <x:row r="43">
      <x:c r="A43" t="str">
        <x:v>c_pigs</x:v>
      </x:c>
      <x:c r="B43" t="n">
        <x:f>Parameters!$B$72*$B$9</x:f>
        <x:v>100210.16510532581</x:v>
      </x:c>
      <x:c r="C43" s="18" t="n">
        <x:v>100210.1651053258</x:v>
      </x:c>
      <x:c r="D43" s="18" t="n">
        <x:f>B43-C43</x:f>
        <x:v>1.4551915228366852e-11</x:v>
      </x:c>
      <x:c r="E43" t="str">
        <x:v>head</x:v>
      </x:c>
      <x:c r="F43" t="str">
        <x:v>Livestock</x:v>
      </x:c>
      <x:c r="G43" t="str">
        <x:v>Pigs</x:v>
      </x:c>
    </x:row>
    <x:row r="44">
      <x:c r="A44" t="str">
        <x:v>c_goats</x:v>
      </x:c>
      <x:c r="B44" t="n">
        <x:f>Parameters!$B$73*$B$9</x:f>
        <x:v>414.2377413177372</x:v>
      </x:c>
      <x:c r="C44" s="18" t="n">
        <x:v>414.2377413177371</x:v>
      </x:c>
      <x:c r="D44" s="18" t="n">
        <x:f>B44-C44</x:f>
        <x:v>5.684341886080802e-14</x:v>
      </x:c>
      <x:c r="E44" t="str">
        <x:v>head</x:v>
      </x:c>
      <x:c r="F44" t="str">
        <x:v>Livestock</x:v>
      </x:c>
      <x:c r="G44" t="str">
        <x:v>Goats</x:v>
      </x:c>
    </x:row>
    <x:row r="45">
      <x:c r="A45" t="str">
        <x:v>c_ent_ch4_t</x:v>
      </x:c>
      <x:c r="B45" t="n">
        <x:f>($B$41*Parameters!$B$74+$B$42*Parameters!$B$75+$B$44*Parameters!$B$76+$B$43*Parameters!$B$77)/1000</x:f>
        <x:v>628.0363965115678</x:v>
      </x:c>
      <x:c r="C45" s="18" t="n">
        <x:v>628.0363965115677</x:v>
      </x:c>
      <x:c r="D45" s="18" t="n">
        <x:f>B45-C45</x:f>
        <x:v>1.1368683772161603e-13</x:v>
      </x:c>
      <x:c r="E45" t="str">
        <x:v>t CH4</x:v>
      </x:c>
      <x:c r="F45" t="str">
        <x:v>Livestock</x:v>
      </x:c>
      <x:c r="G45" t="str">
        <x:v>Enteric CH4</x:v>
      </x:c>
    </x:row>
    <x:row r="46">
      <x:c r="A46" t="str">
        <x:v>c_man_ch4_t</x:v>
      </x:c>
      <x:c r="B46" t="n">
        <x:f>($B$41*Parameters!$B$78+$B$42*Parameters!$B$79+$B$44*Parameters!$B$80+$B$43*Parameters!$B$81)/1000</x:f>
        <x:v>619.5831010487035</x:v>
      </x:c>
      <x:c r="C46" s="18" t="n">
        <x:v>619.5831010487033</x:v>
      </x:c>
      <x:c r="D46" s="18" t="n">
        <x:f>B46-C46</x:f>
        <x:v>2.2737367544323206e-13</x:v>
      </x:c>
      <x:c r="E46" t="str">
        <x:v>t CH4</x:v>
      </x:c>
      <x:c r="F46" t="str">
        <x:v>Livestock</x:v>
      </x:c>
      <x:c r="G46" t="str">
        <x:v>Manure CH4</x:v>
      </x:c>
    </x:row>
    <x:row r="47">
      <x:c r="A47" t="str">
        <x:v>c_additive_ch4_t</x:v>
      </x:c>
      <x:c r="B47" t="n">
        <x:f>$B$41*Parameters!$B$74*Parameters!$B$83*Parameters!$B$84/1000</x:f>
        <x:v>0</x:v>
      </x:c>
      <x:c r="C47" s="18" t="n">
        <x:v>0</x:v>
      </x:c>
      <x:c r="D47" s="18" t="n">
        <x:f>B47-C47</x:f>
        <x:v>0</x:v>
      </x:c>
      <x:c r="E47" t="str">
        <x:v>t CH4</x:v>
      </x:c>
      <x:c r="F47" t="str">
        <x:v>Livestock</x:v>
      </x:c>
      <x:c r="G47" t="str">
        <x:v>Enteric CH4 avoided by feed additive</x:v>
      </x:c>
    </x:row>
    <x:row r="48">
      <x:c r="A48" t="str">
        <x:v>c_digest_ch4_t</x:v>
      </x:c>
      <x:c r="B48" t="n">
        <x:f>($B$43*Parameters!$B$81*Parameters!$B$85+$B$41*Parameters!$B$78*Parameters!$B$86)*Parameters!$B$87/1000</x:f>
        <x:v>545.1861688318411</x:v>
      </x:c>
      <x:c r="C48" s="18" t="n">
        <x:v>545.186168831841</x:v>
      </x:c>
      <x:c r="D48" s="18" t="n">
        <x:f>B48-C48</x:f>
        <x:v>1.1368683772161603e-13</x:v>
      </x:c>
      <x:c r="E48" t="str">
        <x:v>t CH4</x:v>
      </x:c>
      <x:c r="F48" t="str">
        <x:v>Livestock</x:v>
      </x:c>
      <x:c r="G48" t="str">
        <x:v>Reference manure-storage CH4 avoided by routing collectable pig slurry and housed cattle manure promptly to the gas-tight digester</x:v>
      </x:c>
    </x:row>
    <x:row r="49">
      <x:c r="A49" t="str">
        <x:v>c_biogas_ch4_m3</x:v>
      </x:c>
      <x:c r="B49" t="n">
        <x:f>($B$43*Parameters!$B$85*Parameters!$B$88*Parameters!$B$89+$B$41*Parameters!$B$86*Parameters!$B$90*Parameters!$B$91)*365*Parameters!$B$92</x:f>
        <x:v>3039606.773792247</x:v>
      </x:c>
      <x:c r="C49" s="18" t="n">
        <x:v>3039606.773792247</x:v>
      </x:c>
      <x:c r="D49" s="18" t="n">
        <x:f>B49-C49</x:f>
        <x:v>0</x:v>
      </x:c>
      <x:c r="E49" t="str">
        <x:v>m3 CH4</x:v>
      </x:c>
      <x:c r="F49" t="str">
        <x:v>Livestock</x:v>
      </x:c>
      <x:c r="G49" t="str">
        <x:v>Gross methane produced from routed pig slurry and collectable cattle manure</x:v>
      </x:c>
    </x:row>
    <x:row r="50">
      <x:c r="A50" t="str">
        <x:v>c_biomethane_gwh</x:v>
      </x:c>
      <x:c r="B50" t="n">
        <x:f>$B$49*Parameters!$B$93/1000000</x:f>
        <x:v>30.3048795347087</x:v>
      </x:c>
      <x:c r="C50" s="18" t="n">
        <x:v>30.3048795347087</x:v>
      </x:c>
      <x:c r="D50" s="18" t="n">
        <x:f>B50-C50</x:f>
        <x:v>0</x:v>
      </x:c>
      <x:c r="E50" t="str">
        <x:v>GWh</x:v>
      </x:c>
      <x:c r="F50" t="str">
        <x:v>Livestock</x:v>
      </x:c>
      <x:c r="G50" t="str">
        <x:v>Biomethane energy</x:v>
      </x:c>
    </x:row>
    <x:row r="51">
      <x:c r="A51" t="str">
        <x:v>c_leak_ch4_t</x:v>
      </x:c>
      <x:c r="B51" t="n">
        <x:f>$B$49*Parameters!$B$94*Parameters!$B$95/1000</x:f>
        <x:v>65.38194170427121</x:v>
      </x:c>
      <x:c r="C51" s="18" t="n">
        <x:v>65.38194170427121</x:v>
      </x:c>
      <x:c r="D51" s="18" t="n">
        <x:f>B51-C51</x:f>
        <x:v>0</x:v>
      </x:c>
      <x:c r="E51" t="str">
        <x:v>t CH4</x:v>
      </x:c>
      <x:c r="F51" t="str">
        <x:v>Livestock</x:v>
      </x:c>
      <x:c r="G51" t="str">
        <x:v>Additional methane slip from upgrading, compression and piping beyond the digester-management factor</x:v>
      </x:c>
    </x:row>
    <x:row r="52">
      <x:c r="A52" t="str">
        <x:v>c_slurry_pig_t</x:v>
      </x:c>
      <x:c r="B52" t="n">
        <x:f>$B$43*Parameters!$B$85*Parameters!$B$96</x:f>
        <x:v>130273.21463692356</x:v>
      </x:c>
      <x:c r="C52" s="18" t="n">
        <x:v>130273.21463692354</x:v>
      </x:c>
      <x:c r="D52" s="18" t="n">
        <x:f>B52-C52</x:f>
        <x:v>1.4551915228366852e-11</x:v>
      </x:c>
      <x:c r="E52" t="str">
        <x:v>t/yr</x:v>
      </x:c>
      <x:c r="F52" t="str">
        <x:v>Livestock logistics</x:v>
      </x:c>
      <x:c r="G52" t="str">
        <x:v>Pig slurry hauled to central digester</x:v>
      </x:c>
    </x:row>
    <x:row r="53">
      <x:c r="A53" t="str">
        <x:v>c_slurry_cattle_t</x:v>
      </x:c>
      <x:c r="B53" t="n">
        <x:f>$B$41*Parameters!$B$86*Parameters!$B$97</x:f>
        <x:v>5476.726670462192</x:v>
      </x:c>
      <x:c r="C53" s="18" t="n">
        <x:v>5476.726670462191</x:v>
      </x:c>
      <x:c r="D53" s="18" t="n">
        <x:f>B53-C53</x:f>
        <x:v>9.094947017729282e-13</x:v>
      </x:c>
      <x:c r="E53" t="str">
        <x:v>t/yr</x:v>
      </x:c>
      <x:c r="F53" t="str">
        <x:v>Livestock logistics</x:v>
      </x:c>
      <x:c r="G53" t="str">
        <x:v>Collectable cattle manure hauled to central digester</x:v>
      </x:c>
    </x:row>
    <x:row r="54">
      <x:c r="A54" t="str">
        <x:v>c_slurry_truck_t</x:v>
      </x:c>
      <x:c r="B54" t="n">
        <x:f>$B$52+$B$53</x:f>
        <x:v>135749.94130738574</x:v>
      </x:c>
      <x:c r="C54" s="18" t="n">
        <x:v>135749.94130738574</x:v>
      </x:c>
      <x:c r="D54" s="18" t="n">
        <x:f>B54-C54</x:f>
        <x:v>0</x:v>
      </x:c>
      <x:c r="E54" t="str">
        <x:v>t/yr</x:v>
      </x:c>
      <x:c r="F54" t="str">
        <x:v>Livestock logistics</x:v>
      </x:c>
      <x:c r="G54" t="str">
        <x:v>Total wet manure transported</x:v>
      </x:c>
    </x:row>
    <x:row r="55">
      <x:c r="A55" t="str">
        <x:v>c_slurry_truck_ef</x:v>
      </x:c>
      <x:c r="B55" t="n">
        <x:f>Parameters!$B$104*(Parameters!$B$27/(Parameters!$B$20*Parameters!$B$24))</x:f>
        <x:v>0.01554655870445344</x:v>
      </x:c>
      <x:c r="C55" s="18" t="n">
        <x:v>0.01554655870445344</x:v>
      </x:c>
      <x:c r="D55" s="18" t="n">
        <x:f>B55-C55</x:f>
        <x:v>0</x:v>
      </x:c>
      <x:c r="E55" t="str">
        <x:v>kgCO2e/t-km</x:v>
      </x:c>
      <x:c r="F55" t="str">
        <x:v>Livestock logistics</x:v>
      </x:c>
      <x:c r="G55" t="str">
        <x:v>Truck factor scaled from fossil freight to the modelled renewable-diesel lifecycle intensity</x:v>
      </x:c>
    </x:row>
    <x:row r="56">
      <x:c r="A56" t="str">
        <x:v>c_slurry_truck_tco2</x:v>
      </x:c>
      <x:c r="B56" t="n">
        <x:f>$B$54*(2*Parameters!$B$98)*$B$55/1000</x:f>
        <x:v>84.41777726645525</x:v>
      </x:c>
      <x:c r="C56" s="18" t="n">
        <x:v>84.41777726645525</x:v>
      </x:c>
      <x:c r="D56" s="18" t="n">
        <x:f>B56-C56</x:f>
        <x:v>0</x:v>
      </x:c>
      <x:c r="E56" t="str">
        <x:v>tCO2e</x:v>
      </x:c>
      <x:c r="F56" t="str">
        <x:v>Livestock logistics</x:v>
      </x:c>
      <x:c r="G56" t="str">
        <x:v>Round-trip slurry/manure transport to central digester</x:v>
      </x:c>
    </x:row>
    <x:row r="57">
      <x:c r="A57" t="str">
        <x:v>c_bio_cook_gwh</x:v>
      </x:c>
      <x:c r="B57" t="n">
        <x:f>MIN($B$50,$B$14)</x:f>
        <x:v>9.996666666666666</x:v>
      </x:c>
      <x:c r="C57" s="18" t="n">
        <x:v>9.996666666666666</x:v>
      </x:c>
      <x:c r="D57" s="18" t="n">
        <x:f>B57-C57</x:f>
        <x:v>0</x:v>
      </x:c>
      <x:c r="E57" t="str">
        <x:v>GWh</x:v>
      </x:c>
      <x:c r="F57" t="str">
        <x:v>Biogas</x:v>
      </x:c>
      <x:c r="G57" t="str">
        <x:v>Biomethane to cooking</x:v>
      </x:c>
    </x:row>
    <x:row r="58">
      <x:c r="A58" t="str">
        <x:v>c_bio_farm_gwh</x:v>
      </x:c>
      <x:c r="B58" t="n">
        <x:f>MIN($B$50-$B$57,$B$22*Parameters!$B$69)</x:f>
        <x:v>6.506730021057791</x:v>
      </x:c>
      <x:c r="C58" s="18" t="n">
        <x:v>6.50673002105779</x:v>
      </x:c>
      <x:c r="D58" s="18" t="n">
        <x:f>B58-C58</x:f>
        <x:v>8.881784197001252e-16</x:v>
      </x:c>
      <x:c r="E58" t="str">
        <x:v>GWh</x:v>
      </x:c>
      <x:c r="F58" t="str">
        <x:v>Biogas</x:v>
      </x:c>
      <x:c r="G58" t="str">
        <x:v>Biomethane to farm machinery</x:v>
      </x:c>
    </x:row>
    <x:row r="59">
      <x:c r="A59" t="str">
        <x:v>c_bio_heat_gwh</x:v>
      </x:c>
      <x:c r="B59" t="n">
        <x:f>MIN($B$50-$B$57-$B$58,$B$12/Parameters!$B$18)</x:f>
        <x:v>13.801482846984243</x:v>
      </x:c>
      <x:c r="C59" s="18" t="n">
        <x:v>13.801482846984243</x:v>
      </x:c>
      <x:c r="D59" s="18" t="n">
        <x:f>B59-C59</x:f>
        <x:v>0</x:v>
      </x:c>
      <x:c r="E59" t="str">
        <x:v>GWh</x:v>
      </x:c>
      <x:c r="F59" t="str">
        <x:v>Biogas</x:v>
      </x:c>
      <x:c r="G59" t="str">
        <x:v>Biomethane to off-network heating</x:v>
      </x:c>
    </x:row>
    <x:row r="60">
      <x:c r="A60" t="str">
        <x:v>c_bio_surplus_gwh</x:v>
      </x:c>
      <x:c r="B60" t="n">
        <x:f>$B$50-$B$57-$B$58-$B$59</x:f>
        <x:v>0</x:v>
      </x:c>
      <x:c r="C60" s="18" t="n">
        <x:v>0</x:v>
      </x:c>
      <x:c r="D60" s="18" t="n">
        <x:f>B60-C60</x:f>
        <x:v>0</x:v>
      </x:c>
      <x:c r="E60" t="str">
        <x:v>GWh</x:v>
      </x:c>
      <x:c r="F60" t="str">
        <x:v>Biogas</x:v>
      </x:c>
      <x:c r="G60" t="str">
        <x:v>Surplus biomethane (no credit)</x:v>
      </x:c>
    </x:row>
    <x:row r="61">
      <x:c r="A61" t="str">
        <x:v>c_cook_elec_gwh</x:v>
      </x:c>
      <x:c r="B61" t="n">
        <x:f>($B$13-$B$57*Parameters!$B$9)/Parameters!$B$10</x:f>
        <x:v>0</x:v>
      </x:c>
      <x:c r="C61" s="18" t="n">
        <x:v>0</x:v>
      </x:c>
      <x:c r="D61" s="18" t="n">
        <x:f>B61-C61</x:f>
        <x:v>0</x:v>
      </x:c>
      <x:c r="E61" t="str">
        <x:v>GWh</x:v>
      </x:c>
      <x:c r="F61" t="str">
        <x:v>Biogas</x:v>
      </x:c>
      <x:c r="G61" t="str">
        <x:v>Induction cooking for the remainder</x:v>
      </x:c>
    </x:row>
    <x:row r="62">
      <x:c r="A62" t="str">
        <x:v>c_farm_hvo_gwh</x:v>
      </x:c>
      <x:c r="B62" t="n">
        <x:f>$B$22-$B$58</x:f>
        <x:v>15.182370049134846</x:v>
      </x:c>
      <x:c r="C62" s="18" t="n">
        <x:v>15.182370049134843</x:v>
      </x:c>
      <x:c r="D62" s="18" t="n">
        <x:f>B62-C62</x:f>
        <x:v>3.552713678800501e-15</x:v>
      </x:c>
      <x:c r="E62" t="str">
        <x:v>GWh</x:v>
      </x:c>
      <x:c r="F62" t="str">
        <x:v>Biogas</x:v>
      </x:c>
      <x:c r="G62" t="str">
        <x:v>Renewable diesel to farm machinery</x:v>
      </x:c>
    </x:row>
    <x:row r="63">
      <x:c r="A63" t="str">
        <x:v>c_heat_hvo_gwh</x:v>
      </x:c>
      <x:c r="B63" t="n">
        <x:f>($B$12-$B$59*Parameters!$B$18)/Parameters!$B$16</x:f>
        <x:v>7.981018162016685</x:v>
      </x:c>
      <x:c r="C63" s="18" t="n">
        <x:v>7.981018162016685</x:v>
      </x:c>
      <x:c r="D63" s="18" t="n">
        <x:f>B63-C63</x:f>
        <x:v>0</x:v>
      </x:c>
      <x:c r="E63" t="str">
        <x:v>GWh</x:v>
      </x:c>
      <x:c r="F63" t="str">
        <x:v>Biogas</x:v>
      </x:c>
      <x:c r="G63" t="str">
        <x:v>Renewable heating oil off the heat network</x:v>
      </x:c>
    </x:row>
    <x:row r="64">
      <x:c r="A64" t="str">
        <x:v>c_elec_hh_side_gwh</x:v>
      </x:c>
      <x:c r="B64" t="n">
        <x:f>$B$15+$B$17+$B$19+$B$61</x:f>
        <x:v>32.666732960000004</x:v>
      </x:c>
      <x:c r="C64" s="18" t="n">
        <x:v>32.666732960000004</x:v>
      </x:c>
      <x:c r="D64" s="18" t="n">
        <x:f>B64-C64</x:f>
        <x:v>0</x:v>
      </x:c>
      <x:c r="E64" t="str">
        <x:v>GWh</x:v>
      </x:c>
      <x:c r="F64" t="str">
        <x:v>Electricity</x:v>
      </x:c>
      <x:c r="G64" t="str">
        <x:v>Community electricity</x:v>
      </x:c>
    </x:row>
    <x:row r="65">
      <x:c r="A65" t="str">
        <x:v>c_elec_food_gwh</x:v>
      </x:c>
      <x:c r="B65" t="n">
        <x:f>$B$24</x:f>
        <x:v>43.5175</x:v>
      </x:c>
      <x:c r="C65" s="18" t="n">
        <x:v>43.5175</x:v>
      </x:c>
      <x:c r="D65" s="18" t="n">
        <x:f>B65-C65</x:f>
        <x:v>0</x:v>
      </x:c>
      <x:c r="E65" t="str">
        <x:v>GWh</x:v>
      </x:c>
      <x:c r="F65" t="str">
        <x:v>Electricity</x:v>
      </x:c>
      <x:c r="G65" t="str">
        <x:v>Food-production electricity</x:v>
      </x:c>
    </x:row>
    <x:row r="66">
      <x:c r="A66" t="str">
        <x:v>c_elec_heatnet_gwh</x:v>
      </x:c>
      <x:c r="B66" t="n">
        <x:f>$B$29+$B$30+Parameters!$B$65</x:f>
        <x:v>29.58429509143969</x:v>
      </x:c>
      <x:c r="C66" s="18" t="n">
        <x:v>29.58429509143969</x:v>
      </x:c>
      <x:c r="D66" s="18" t="n">
        <x:f>B66-C66</x:f>
        <x:v>0</x:v>
      </x:c>
      <x:c r="E66" t="str">
        <x:v>GWh</x:v>
      </x:c>
      <x:c r="F66" t="str">
        <x:v>Electricity</x:v>
      </x:c>
      <x:c r="G66" t="str">
        <x:v>Heat-network electricity</x:v>
      </x:c>
    </x:row>
    <x:row r="67">
      <x:c r="A67" t="str">
        <x:v>c_elec_total_gwh</x:v>
      </x:c>
      <x:c r="B67" t="n">
        <x:f>$B$64+$B$65+$B$66+$B$26+$B$27</x:f>
        <x:v>755.7044640514396</x:v>
      </x:c>
      <x:c r="C67" s="18" t="n">
        <x:v>755.7044640514396</x:v>
      </x:c>
      <x:c r="D67" s="18" t="n">
        <x:f>B67-C67</x:f>
        <x:v>0</x:v>
      </x:c>
      <x:c r="E67" t="str">
        <x:v>GWh</x:v>
      </x:c>
      <x:c r="F67" t="str">
        <x:v>Electricity</x:v>
      </x:c>
      <x:c r="G67" t="str">
        <x:v>Total project electricity</x:v>
      </x:c>
    </x:row>
    <x:row r="68">
      <x:c r="A68" t="str">
        <x:v>c_own_gen_gwh</x:v>
      </x:c>
      <x:c r="B68" t="n">
        <x:f>$B$3*(Parameters!$B$34*Parameters!$B$36+Parameters!$B$35*Parameters!$B$37)*8.76</x:f>
        <x:v>533.6561835478454</x:v>
      </x:c>
      <x:c r="C68" s="18" t="n">
        <x:v>533.6561835478454</x:v>
      </x:c>
      <x:c r="D68" s="18" t="n">
        <x:f>B68-C68</x:f>
        <x:v>0</x:v>
      </x:c>
      <x:c r="E68" t="str">
        <x:v>GWh</x:v>
      </x:c>
      <x:c r="F68" t="str">
        <x:v>Electricity</x:v>
      </x:c>
      <x:c r="G68" t="str">
        <x:v>Own wind and solar</x:v>
      </x:c>
    </x:row>
    <x:row r="69">
      <x:c r="A69" t="str">
        <x:v>c_own_used_gwh</x:v>
      </x:c>
      <x:c r="B69" t="n">
        <x:f>MIN($B$68,$B$67)</x:f>
        <x:v>533.6561835478454</x:v>
      </x:c>
      <x:c r="C69" s="18" t="n">
        <x:v>533.6561835478454</x:v>
      </x:c>
      <x:c r="D69" s="18" t="n">
        <x:f>B69-C69</x:f>
        <x:v>0</x:v>
      </x:c>
      <x:c r="E69" t="str">
        <x:v>GWh</x:v>
      </x:c>
      <x:c r="F69" t="str">
        <x:v>Electricity</x:v>
      </x:c>
      <x:c r="G69" t="str">
        <x:v>Own generation used</x:v>
      </x:c>
    </x:row>
    <x:row r="70">
      <x:c r="A70" t="str">
        <x:v>c_ppa_gwh</x:v>
      </x:c>
      <x:c r="B70" t="n">
        <x:f>$B$67-$B$69</x:f>
        <x:v>222.04828050359413</x:v>
      </x:c>
      <x:c r="C70" s="18" t="n">
        <x:v>222.04828050359413</x:v>
      </x:c>
      <x:c r="D70" s="18" t="n">
        <x:f>B70-C70</x:f>
        <x:v>0</x:v>
      </x:c>
      <x:c r="E70" t="str">
        <x:v>GWh</x:v>
      </x:c>
      <x:c r="F70" t="str">
        <x:v>Electricity</x:v>
      </x:c>
      <x:c r="G70" t="str">
        <x:v>Residual renewable PPA</x:v>
      </x:c>
    </x:row>
    <x:row r="71">
      <x:c r="A71" t="str">
        <x:v>c_own_share</x:v>
      </x:c>
      <x:c r="B71" t="n">
        <x:f>$B$69/$B$67</x:f>
        <x:v>0.7061704792463954</x:v>
      </x:c>
      <x:c r="C71" s="18" t="n">
        <x:v>0.7061704792463954</x:v>
      </x:c>
      <x:c r="D71" s="18" t="n">
        <x:f>B71-C71</x:f>
        <x:v>0</x:v>
      </x:c>
      <x:c r="E71" t="str">
        <x:v>fraction</x:v>
      </x:c>
      <x:c r="F71" t="str">
        <x:v>Electricity</x:v>
      </x:c>
      <x:c r="G71" t="str">
        <x:v>Own-generation share</x:v>
      </x:c>
    </x:row>
    <x:row r="72">
      <x:c r="A72" t="str">
        <x:v>c_ef_proj_mb</x:v>
      </x:c>
      <x:c r="B72" t="n">
        <x:f>($B$69*Parameters!$B$32+$B$70*Parameters!$B$33)/$B$67</x:f>
        <x:v>0.02</x:v>
      </x:c>
      <x:c r="C72" s="18" t="n">
        <x:v>0.02</x:v>
      </x:c>
      <x:c r="D72" s="18" t="n">
        <x:f>B72-C72</x:f>
        <x:v>0</x:v>
      </x:c>
      <x:c r="E72" t="str">
        <x:v>kgCO2e/kWh</x:v>
      </x:c>
      <x:c r="F72" t="str">
        <x:v>Electricity</x:v>
      </x:c>
      <x:c r="G72" t="str">
        <x:v>Project intensity, market-based</x:v>
      </x:c>
    </x:row>
    <x:row r="73">
      <x:c r="A73" t="str">
        <x:v>c_ef_proj_lb</x:v>
      </x:c>
      <x:c r="B73" t="n">
        <x:f>($B$69*Parameters!$B$32+$B$70*Parameters!$B$31)/$B$67</x:f>
        <x:v>0.07729675654695291</x:v>
      </x:c>
      <x:c r="C73" s="18" t="n">
        <x:v>0.07729675654695291</x:v>
      </x:c>
      <x:c r="D73" s="18" t="n">
        <x:f>B73-C73</x:f>
        <x:v>0</x:v>
      </x:c>
      <x:c r="E73" t="str">
        <x:v>kgCO2e/kWh</x:v>
      </x:c>
      <x:c r="F73" t="str">
        <x:v>Electricity</x:v>
      </x:c>
      <x:c r="G73" t="str">
        <x:v>Project intensity, location-based</x:v>
      </x:c>
    </x:row>
    <x:row r="74">
      <x:c r="A74" t="str">
        <x:v>R_elec</x:v>
      </x:c>
      <x:c r="B74" t="n">
        <x:f>$B$15*Parameters!$B$30*1000</x:f>
        <x:v>4227.107294400001</x:v>
      </x:c>
      <x:c r="C74" s="18" t="n">
        <x:v>4227.107294400001</x:v>
      </x:c>
      <x:c r="D74" s="18" t="n">
        <x:f>B74-C74</x:f>
        <x:v>0</x:v>
      </x:c>
      <x:c r="E74" t="str">
        <x:v>tCO2e</x:v>
      </x:c>
      <x:c r="F74" t="str">
        <x:v>Emissions</x:v>
      </x:c>
      <x:c r="G74" t="str">
        <x:v>Household electricity — reference</x:v>
      </x:c>
    </x:row>
    <x:row r="75">
      <x:c r="A75" t="str">
        <x:v>J_elec</x:v>
      </x:c>
      <x:c r="B75" t="n">
        <x:f>$B$15*$B$72*1000</x:f>
        <x:v>327.68273600000003</x:v>
      </x:c>
      <x:c r="C75" s="18" t="n">
        <x:v>327.68273600000003</x:v>
      </x:c>
      <x:c r="D75" s="18" t="n">
        <x:f>B75-C75</x:f>
        <x:v>0</x:v>
      </x:c>
      <x:c r="E75" t="str">
        <x:v>tCO2e</x:v>
      </x:c>
      <x:c r="F75" t="str">
        <x:v>Emissions</x:v>
      </x:c>
      <x:c r="G75" t="str">
        <x:v>Household electricity — project</x:v>
      </x:c>
    </x:row>
    <x:row r="76">
      <x:c r="A76" t="str">
        <x:v>R_heat</x:v>
      </x:c>
      <x:c r="B76" t="n">
        <x:f>$B$10*1000*(Parameters!$B$11*Parameters!$B$20*Parameters!$B$24/Parameters!$B$16+Parameters!$B$12*Parameters!$B$21*Parameters!$B$25/Parameters!$B$17+Parameters!$B$13*Parameters!$B$22*Parameters!$B$26/Parameters!$B$18+Parameters!$B$14*Parameters!$B$23/Parameters!$B$19)</x:f>
        <x:v>34870.90041539765</x:v>
      </x:c>
      <x:c r="C76" s="18" t="n">
        <x:v>34870.90041539765</x:v>
      </x:c>
      <x:c r="D76" s="18" t="n">
        <x:f>B76-C76</x:f>
        <x:v>0</x:v>
      </x:c>
      <x:c r="E76" t="str">
        <x:v>tCO2e</x:v>
      </x:c>
      <x:c r="F76" t="str">
        <x:v>Emissions</x:v>
      </x:c>
      <x:c r="G76" t="str">
        <x:v>Space heating — reference</x:v>
      </x:c>
    </x:row>
    <x:row r="77">
      <x:c r="A77" t="str">
        <x:v>J_heat_dh</x:v>
      </x:c>
      <x:c r="B77" t="n">
        <x:f>($B$29+$B$30)*$B$72*1000</x:f>
        <x:v>279.68590182879376</x:v>
      </x:c>
      <x:c r="C77" s="18" t="n">
        <x:v>279.68590182879376</x:v>
      </x:c>
      <x:c r="D77" s="18" t="n">
        <x:f>B77-C77</x:f>
        <x:v>0</x:v>
      </x:c>
      <x:c r="E77" t="str">
        <x:v>tCO2e</x:v>
      </x:c>
      <x:c r="F77" t="str">
        <x:v>Emissions</x:v>
      </x:c>
      <x:c r="G77" t="str">
        <x:v>Space heating from recovered heat — project</x:v>
      </x:c>
    </x:row>
    <x:row r="78">
      <x:c r="A78" t="str">
        <x:v>J_heat_off</x:v>
      </x:c>
      <x:c r="B78" t="n">
        <x:f>($B$59*Parameters!$B$28+$B$63*Parameters!$B$27)*1000</x:f>
        <x:v>597.7214746020035</x:v>
      </x:c>
      <x:c r="C78" s="18" t="n">
        <x:v>597.7214746020035</x:v>
      </x:c>
      <x:c r="D78" s="18" t="n">
        <x:f>B78-C78</x:f>
        <x:v>0</x:v>
      </x:c>
      <x:c r="E78" t="str">
        <x:v>tCO2e</x:v>
      </x:c>
      <x:c r="F78" t="str">
        <x:v>Emissions</x:v>
      </x:c>
      <x:c r="G78" t="str">
        <x:v>Space heating off network (biomethane, renewable heating oil) — project</x:v>
      </x:c>
    </x:row>
    <x:row r="79">
      <x:c r="A79" t="str">
        <x:v>R_cook</x:v>
      </x:c>
      <x:c r="B79" t="n">
        <x:f>$B$14*1000*(Parameters!$B$15*Parameters!$B$21*Parameters!$B$25+(1-Parameters!$B$15)*Parameters!$B$22*Parameters!$B$26)</x:f>
        <x:v>2505.7148832</x:v>
      </x:c>
      <x:c r="C79" s="18" t="n">
        <x:v>2505.7148832</x:v>
      </x:c>
      <x:c r="D79" s="18" t="n">
        <x:f>B79-C79</x:f>
        <x:v>0</x:v>
      </x:c>
      <x:c r="E79" t="str">
        <x:v>tCO2e</x:v>
      </x:c>
      <x:c r="F79" t="str">
        <x:v>Emissions</x:v>
      </x:c>
      <x:c r="G79" t="str">
        <x:v>Cooking — reference</x:v>
      </x:c>
    </x:row>
    <x:row r="80">
      <x:c r="A80" t="str">
        <x:v>J_cook</x:v>
      </x:c>
      <x:c r="B80" t="n">
        <x:f>($B$57*Parameters!$B$28+$B$61*$B$72)*1000</x:f>
        <x:v>99.96666666666667</x:v>
      </x:c>
      <x:c r="C80" s="18" t="n">
        <x:v>99.96666666666667</x:v>
      </x:c>
      <x:c r="D80" s="18" t="n">
        <x:f>B80-C80</x:f>
        <x:v>0</x:v>
      </x:c>
      <x:c r="E80" t="str">
        <x:v>tCO2e</x:v>
      </x:c>
      <x:c r="F80" t="str">
        <x:v>Emissions</x:v>
      </x:c>
      <x:c r="G80" t="str">
        <x:v>Cooking — project</x:v>
      </x:c>
    </x:row>
    <x:row r="81">
      <x:c r="A81" t="str">
        <x:v>R_mob</x:v>
      </x:c>
      <x:c r="B81" t="n">
        <x:f>$B$16*Parameters!$B$39/100*Parameters!$B$40*Parameters!$B$41/1000</x:f>
        <x:v>18472.0635</x:v>
      </x:c>
      <x:c r="C81" s="18" t="n">
        <x:v>18472.0635</x:v>
      </x:c>
      <x:c r="D81" s="18" t="n">
        <x:f>B81-C81</x:f>
        <x:v>0</x:v>
      </x:c>
      <x:c r="E81" t="str">
        <x:v>tCO2e</x:v>
      </x:c>
      <x:c r="F81" t="str">
        <x:v>Emissions</x:v>
      </x:c>
      <x:c r="G81" t="str">
        <x:v>Private mobility — reference</x:v>
      </x:c>
    </x:row>
    <x:row r="82">
      <x:c r="A82" t="str">
        <x:v>J_mob</x:v>
      </x:c>
      <x:c r="B82" t="n">
        <x:f>($B$17+$B$19)*$B$72*1000+$B$18*Parameters!$B$40*Parameters!$B$41*Parameters!$B$47/1000</x:f>
        <x:v>526.4352221130434</x:v>
      </x:c>
      <x:c r="C82" s="18" t="n">
        <x:v>526.4352221130434</x:v>
      </x:c>
      <x:c r="D82" s="18" t="n">
        <x:f>B82-C82</x:f>
        <x:v>0</x:v>
      </x:c>
      <x:c r="E82" t="str">
        <x:v>tCO2e</x:v>
      </x:c>
      <x:c r="F82" t="str">
        <x:v>Emissions</x:v>
      </x:c>
      <x:c r="G82" t="str">
        <x:v>Mobility incl. free charging and bus — project</x:v>
      </x:c>
    </x:row>
    <x:row r="83">
      <x:c r="A83" t="str">
        <x:v>R_farm</x:v>
      </x:c>
      <x:c r="B83" t="n">
        <x:f>$B$22*Parameters!$B$20*Parameters!$B$24*1000</x:f>
        <x:v>7232.230418405736</x:v>
      </x:c>
      <x:c r="C83" s="18" t="n">
        <x:v>7232.230418405735</x:v>
      </x:c>
      <x:c r="D83" s="18" t="n">
        <x:f>B83-C83</x:f>
        <x:v>9.094947017729282e-13</x:v>
      </x:c>
      <x:c r="E83" t="str">
        <x:v>tCO2e</x:v>
      </x:c>
      <x:c r="F83" t="str">
        <x:v>Emissions</x:v>
      </x:c>
      <x:c r="G83" t="str">
        <x:v>Farm machinery — reference (gasóleo B)</x:v>
      </x:c>
    </x:row>
    <x:row r="84">
      <x:c r="A84" t="str">
        <x:v>J_farm</x:v>
      </x:c>
      <x:c r="B84" t="n">
        <x:f>($B$58*Parameters!$B$28+$B$62*Parameters!$B$27)*1000</x:f>
        <x:v>939.571815040745</x:v>
      </x:c>
      <x:c r="C84" s="18" t="n">
        <x:v>939.5718150407448</x:v>
      </x:c>
      <x:c r="D84" s="18" t="n">
        <x:f>B84-C84</x:f>
        <x:v>2.2737367544323206e-13</x:v>
      </x:c>
      <x:c r="E84" t="str">
        <x:v>tCO2e</x:v>
      </x:c>
      <x:c r="F84" t="str">
        <x:v>Emissions</x:v>
      </x:c>
      <x:c r="G84" t="str">
        <x:v>Farm machinery — project</x:v>
      </x:c>
    </x:row>
    <x:row r="85">
      <x:c r="A85" t="str">
        <x:v>R_ent</x:v>
      </x:c>
      <x:c r="B85" t="n">
        <x:f>$B$45*Parameters!$B$82</x:f>
        <x:v>16956.98270581233</x:v>
      </x:c>
      <x:c r="C85" s="18" t="n">
        <x:v>16956.982705812326</x:v>
      </x:c>
      <x:c r="D85" s="18" t="n">
        <x:f>B85-C85</x:f>
        <x:v>3.637978807091713e-12</x:v>
      </x:c>
      <x:c r="E85" t="str">
        <x:v>tCO2e</x:v>
      </x:c>
      <x:c r="F85" t="str">
        <x:v>Emissions</x:v>
      </x:c>
      <x:c r="G85" t="str">
        <x:v>Enteric methane — reference</x:v>
      </x:c>
    </x:row>
    <x:row r="86">
      <x:c r="A86" t="str">
        <x:v>J_ent</x:v>
      </x:c>
      <x:c r="B86" t="n">
        <x:f>($B$45-$B$47)*Parameters!$B$82</x:f>
        <x:v>16956.98270581233</x:v>
      </x:c>
      <x:c r="C86" s="18" t="n">
        <x:v>16956.982705812326</x:v>
      </x:c>
      <x:c r="D86" s="18" t="n">
        <x:f>B86-C86</x:f>
        <x:v>3.637978807091713e-12</x:v>
      </x:c>
      <x:c r="E86" t="str">
        <x:v>tCO2e</x:v>
      </x:c>
      <x:c r="F86" t="str">
        <x:v>Emissions</x:v>
      </x:c>
      <x:c r="G86" t="str">
        <x:v>Enteric methane — project</x:v>
      </x:c>
    </x:row>
    <x:row r="87">
      <x:c r="A87" t="str">
        <x:v>R_man</x:v>
      </x:c>
      <x:c r="B87" t="n">
        <x:f>$B$46*Parameters!$B$82</x:f>
        <x:v>16728.743728314996</x:v>
      </x:c>
      <x:c r="C87" s="18" t="n">
        <x:v>16728.74372831499</x:v>
      </x:c>
      <x:c r="D87" s="18" t="n">
        <x:f>B87-C87</x:f>
        <x:v>7.275957614183426e-12</x:v>
      </x:c>
      <x:c r="E87" t="str">
        <x:v>tCO2e</x:v>
      </x:c>
      <x:c r="F87" t="str">
        <x:v>Emissions</x:v>
      </x:c>
      <x:c r="G87" t="str">
        <x:v>Manure methane — reference</x:v>
      </x:c>
    </x:row>
    <x:row r="88">
      <x:c r="A88" t="str">
        <x:v>J_man</x:v>
      </x:c>
      <x:c r="B88" t="n">
        <x:f>($B$46-$B$48+$B$51)*Parameters!$B$82</x:f>
        <x:v>3774.029595870608</x:v>
      </x:c>
      <x:c r="C88" s="18" t="n">
        <x:v>3774.0295958706047</x:v>
      </x:c>
      <x:c r="D88" s="18" t="n">
        <x:f>B88-C88</x:f>
        <x:v>3.183231456205249e-12</x:v>
      </x:c>
      <x:c r="E88" t="str">
        <x:v>tCO2e</x:v>
      </x:c>
      <x:c r="F88" t="str">
        <x:v>Emissions</x:v>
      </x:c>
      <x:c r="G88" t="str">
        <x:v>Manure methane — project: unmanaged/pasture manure plus residual managed-manure emissions and biomethane-chain leakage</x:v>
      </x:c>
    </x:row>
    <x:row r="89">
      <x:c r="A89" t="str">
        <x:v>J_slurry_transport</x:v>
      </x:c>
      <x:c r="B89" t="n">
        <x:f>$B$56</x:f>
        <x:v>84.41777726645525</x:v>
      </x:c>
      <x:c r="C89" s="18" t="n">
        <x:v>84.41777726645525</x:v>
      </x:c>
      <x:c r="D89" s="18" t="n">
        <x:f>B89-C89</x:f>
        <x:v>0</x:v>
      </x:c>
      <x:c r="E89" t="str">
        <x:v>tCO2e</x:v>
      </x:c>
      <x:c r="F89" t="str">
        <x:v>Emissions</x:v>
      </x:c>
      <x:c r="G89" t="str">
        <x:v>Renewable-fuel trucking of slurry/manure to the central digester</x:v>
      </x:c>
    </x:row>
    <x:row r="90">
      <x:c r="A90" t="str">
        <x:v>R_compute</x:v>
      </x:c>
      <x:c r="B90" t="n">
        <x:f>$B$25*Parameters!$B$51*$B$72*1000</x:f>
        <x:v>12886.660799999998</x:v>
      </x:c>
      <x:c r="C90" s="18" t="n">
        <x:v>12886.660799999998</x:v>
      </x:c>
      <x:c r="D90" s="18" t="n">
        <x:f>B90-C90</x:f>
        <x:v>0</x:v>
      </x:c>
      <x:c r="E90" t="str">
        <x:v>tCO2e</x:v>
      </x:c>
      <x:c r="F90" t="str">
        <x:v>Emissions</x:v>
      </x:c>
      <x:c r="G90" t="str">
        <x:v>Compute — mega-campus, same procurement</x:v>
      </x:c>
    </x:row>
    <x:row r="91">
      <x:c r="A91" t="str">
        <x:v>J_compute</x:v>
      </x:c>
      <x:c r="B91" t="n">
        <x:f>($B$26+$B$27)*$B$72*1000</x:f>
        <x:v>12998.718719999997</x:v>
      </x:c>
      <x:c r="C91" s="18" t="n">
        <x:v>12998.718719999997</x:v>
      </x:c>
      <x:c r="D91" s="18" t="n">
        <x:f>B91-C91</x:f>
        <x:v>0</x:v>
      </x:c>
      <x:c r="E91" t="str">
        <x:v>tCO2e</x:v>
      </x:c>
      <x:c r="F91" t="str">
        <x:v>Emissions</x:v>
      </x:c>
      <x:c r="G91" t="str">
        <x:v>Compute — distributed network</x:v>
      </x:c>
    </x:row>
    <x:row r="92">
      <x:c r="A92" t="str">
        <x:v>R_dry</x:v>
      </x:c>
      <x:c r="B92" t="n">
        <x:f>Parameters!$B$100*Parameters!$B$101/3600*Parameters!$B$22*Parameters!$B$26*1000</x:f>
        <x:v>17038.26992</x:v>
      </x:c>
      <x:c r="C92" s="18" t="n">
        <x:v>17038.26992</x:v>
      </x:c>
      <x:c r="D92" s="18" t="n">
        <x:f>B92-C92</x:f>
        <x:v>0</x:v>
      </x:c>
      <x:c r="E92" t="str">
        <x:v>tCO2e</x:v>
      </x:c>
      <x:c r="F92" t="str">
        <x:v>Emissions</x:v>
      </x:c>
      <x:c r="G92" t="str">
        <x:v>Alfalfa dehydration — reference gas-fired</x:v>
      </x:c>
    </x:row>
    <x:row r="93">
      <x:c r="A93" t="str">
        <x:v>J_dry</x:v>
      </x:c>
      <x:c r="B93" t="n">
        <x:f>$B$35*$B$72*1000</x:f>
        <x:v>212.3681779298546</x:v>
      </x:c>
      <x:c r="C93" s="18" t="n">
        <x:v>212.3681779298546</x:v>
      </x:c>
      <x:c r="D93" s="18" t="n">
        <x:f>B93-C93</x:f>
        <x:v>0</x:v>
      </x:c>
      <x:c r="E93" t="str">
        <x:v>tCO2e</x:v>
      </x:c>
      <x:c r="F93" t="str">
        <x:v>Emissions</x:v>
      </x:c>
      <x:c r="G93" t="str">
        <x:v>Alfalfa dehydration with recovered heat — project</x:v>
      </x:c>
    </x:row>
    <x:row r="94">
      <x:c r="A94" t="str">
        <x:v>J_dry_other</x:v>
      </x:c>
      <x:c r="B94" t="n">
        <x:f>$B$36*$B$72*1000</x:f>
        <x:v>99.63182207014542</x:v>
      </x:c>
      <x:c r="C94" s="18" t="n">
        <x:v>99.63182207014542</x:v>
      </x:c>
      <x:c r="D94" s="18" t="n">
        <x:f>B94-C94</x:f>
        <x:v>0</x:v>
      </x:c>
      <x:c r="E94" t="str">
        <x:v>tCO2e</x:v>
      </x:c>
      <x:c r="F94" t="str">
        <x:v>Emissions</x:v>
      </x:c>
      <x:c r="G94" t="str">
        <x:v>Other drying line lift (no reference credit)</x:v>
      </x:c>
    </x:row>
    <x:row r="95">
      <x:c r="A95" t="str">
        <x:v>c_alf_product_t</x:v>
      </x:c>
      <x:c r="B95" t="n">
        <x:f>Parameters!$B$99-Parameters!$B$100</x:f>
        <x:v>47201</x:v>
      </x:c>
      <x:c r="C95" s="18" t="n">
        <x:v>47201</x:v>
      </x:c>
      <x:c r="D95" s="18" t="n">
        <x:f>B95-C95</x:f>
        <x:v>0</x:v>
      </x:c>
      <x:c r="E95" t="str">
        <x:v>t</x:v>
      </x:c>
      <x:c r="F95" t="str">
        <x:v>Emissions</x:v>
      </x:c>
      <x:c r="G95" t="str">
        <x:v>Dehydrated alfalfa output</x:v>
      </x:c>
    </x:row>
    <x:row r="96">
      <x:c r="A96" t="str">
        <x:v>R_haul</x:v>
      </x:c>
      <x:c r="B96" t="n">
        <x:f>$B$95*Parameters!$B$102*Parameters!$B$104/1000</x:f>
        <x:v>1274.427</x:v>
      </x:c>
      <x:c r="C96" s="18" t="n">
        <x:v>1274.427</x:v>
      </x:c>
      <x:c r="D96" s="18" t="n">
        <x:f>B96-C96</x:f>
        <x:v>0</x:v>
      </x:c>
      <x:c r="E96" t="str">
        <x:v>tCO2e</x:v>
      </x:c>
      <x:c r="F96" t="str">
        <x:v>Emissions</x:v>
      </x:c>
      <x:c r="G96" t="str">
        <x:v>Alfalfa haulage — reference</x:v>
      </x:c>
    </x:row>
    <x:row r="97">
      <x:c r="A97" t="str">
        <x:v>J_haul</x:v>
      </x:c>
      <x:c r="B97" t="n">
        <x:f>$B$95*Parameters!$B$103*Parameters!$B$104/1000</x:f>
        <x:v>127.4427</x:v>
      </x:c>
      <x:c r="C97" s="18" t="n">
        <x:v>127.4427</x:v>
      </x:c>
      <x:c r="D97" s="18" t="n">
        <x:f>B97-C97</x:f>
        <x:v>0</x:v>
      </x:c>
      <x:c r="E97" t="str">
        <x:v>tCO2e</x:v>
      </x:c>
      <x:c r="F97" t="str">
        <x:v>Emissions</x:v>
      </x:c>
      <x:c r="G97" t="str">
        <x:v>Alfalfa haulage — project</x:v>
      </x:c>
    </x:row>
    <x:row r="98">
      <x:c r="A98" t="str">
        <x:v>c_sbm_t</x:v>
      </x:c>
      <x:c r="B98" t="n">
        <x:f>$B$41*Parameters!$B$83*Parameters!$B$105*365/1000</x:f>
        <x:v>383.37086693235335</x:v>
      </x:c>
      <x:c r="C98" s="18" t="n">
        <x:v>383.3708669323533</x:v>
      </x:c>
      <x:c r="D98" s="18" t="n">
        <x:f>B98-C98</x:f>
        <x:v>5.684341886080802e-14</x:v>
      </x:c>
      <x:c r="E98" t="str">
        <x:v>t</x:v>
      </x:c>
      <x:c r="F98" t="str">
        <x:v>Emissions</x:v>
      </x:c>
      <x:c r="G98" t="str">
        <x:v>Soybean meal displaced</x:v>
      </x:c>
    </x:row>
    <x:row r="99">
      <x:c r="A99" t="str">
        <x:v>R_feed</x:v>
      </x:c>
      <x:c r="B99" t="n">
        <x:f>$B$98*Parameters!$B$107</x:f>
        <x:v>575.0563003985301</x:v>
      </x:c>
      <x:c r="C99" s="18" t="n">
        <x:v>575.05630039853</x:v>
      </x:c>
      <x:c r="D99" s="18" t="n">
        <x:f>B99-C99</x:f>
        <x:v>1.1368683772161603e-13</x:v>
      </x:c>
      <x:c r="E99" t="str">
        <x:v>tCO2e</x:v>
      </x:c>
      <x:c r="F99" t="str">
        <x:v>Emissions</x:v>
      </x:c>
      <x:c r="G99" t="str">
        <x:v>Protein feed — reference soybean meal</x:v>
      </x:c>
    </x:row>
    <x:row r="100">
      <x:c r="A100" t="str">
        <x:v>J_feed</x:v>
      </x:c>
      <x:c r="B100" t="n">
        <x:f>$B$98*Parameters!$B$106*Parameters!$B$108</x:f>
        <x:v>103.51013407173542</x:v>
      </x:c>
      <x:c r="C100" s="18" t="n">
        <x:v>103.5101340717354</x:v>
      </x:c>
      <x:c r="D100" s="18" t="n">
        <x:f>B100-C100</x:f>
        <x:v>2.842170943040401e-14</x:v>
      </x:c>
      <x:c r="E100" t="str">
        <x:v>tCO2e</x:v>
      </x:c>
      <x:c r="F100" t="str">
        <x:v>Emissions</x:v>
      </x:c>
      <x:c r="G100" t="str">
        <x:v>Protein feed — local alfalfa</x:v>
      </x:c>
    </x:row>
    <x:row r="101">
      <x:c r="A101" t="str">
        <x:v>c_veg_t</x:v>
      </x:c>
      <x:c r="B101" t="n">
        <x:f>Parameters!$B$56*10000*Parameters!$B$109/1000</x:f>
        <x:v>19300.5</x:v>
      </x:c>
      <x:c r="C101" s="18" t="n">
        <x:v>19300.5</x:v>
      </x:c>
      <x:c r="D101" s="18" t="n">
        <x:f>B101-C101</x:f>
        <x:v>0</x:v>
      </x:c>
      <x:c r="E101" t="str">
        <x:v>t</x:v>
      </x:c>
      <x:c r="F101" t="str">
        <x:v>Emissions</x:v>
      </x:c>
      <x:c r="G101" t="str">
        <x:v>Glasshouse vegetables</x:v>
      </x:c>
    </x:row>
    <x:row r="102">
      <x:c r="A102" t="str">
        <x:v>R_veg</x:v>
      </x:c>
      <x:c r="B102" t="n">
        <x:f>$B$101*Parameters!$B$110</x:f>
        <x:v>13510.349999999999</x:v>
      </x:c>
      <x:c r="C102" s="18" t="n">
        <x:v>13510.349999999999</x:v>
      </x:c>
      <x:c r="D102" s="18" t="n">
        <x:f>B102-C102</x:f>
        <x:v>0</x:v>
      </x:c>
      <x:c r="E102" t="str">
        <x:v>tCO2e</x:v>
      </x:c>
      <x:c r="F102" t="str">
        <x:v>Emissions</x:v>
      </x:c>
      <x:c r="G102" t="str">
        <x:v>Vegetables — reference supply</x:v>
      </x:c>
    </x:row>
    <x:row r="103">
      <x:c r="A103" t="str">
        <x:v>J_veg</x:v>
      </x:c>
      <x:c r="B103" t="n">
        <x:f>$B$101*Parameters!$B$111+Parameters!$B$56*10000*Parameters!$B$62/1000000*$B$72*1000</x:f>
        <x:v>5039.575</x:v>
      </x:c>
      <x:c r="C103" s="18" t="n">
        <x:v>5039.575</x:v>
      </x:c>
      <x:c r="D103" s="18" t="n">
        <x:f>B103-C103</x:f>
        <x:v>0</x:v>
      </x:c>
      <x:c r="E103" t="str">
        <x:v>tCO2e</x:v>
      </x:c>
      <x:c r="F103" t="str">
        <x:v>Emissions</x:v>
      </x:c>
      <x:c r="G103" t="str">
        <x:v>Vegetables — corridor glasshouse</x:v>
      </x:c>
    </x:row>
    <x:row r="104">
      <x:c r="A104" t="str">
        <x:v>R_sea</x:v>
      </x:c>
      <x:c r="B104" t="n">
        <x:f>Parameters!$B$58*Parameters!$B$112</x:f>
        <x:v>65590</x:v>
      </x:c>
      <x:c r="C104" s="18" t="n">
        <x:v>65590</x:v>
      </x:c>
      <x:c r="D104" s="18" t="n">
        <x:f>B104-C104</x:f>
        <x:v>0</x:v>
      </x:c>
      <x:c r="E104" t="str">
        <x:v>tCO2e</x:v>
      </x:c>
      <x:c r="F104" t="str">
        <x:v>Emissions</x:v>
      </x:c>
      <x:c r="G104" t="str">
        <x:v>Seafood — reference supply</x:v>
      </x:c>
    </x:row>
    <x:row r="105">
      <x:c r="A105" t="str">
        <x:v>J_sea</x:v>
      </x:c>
      <x:c r="B105" t="n">
        <x:f>Parameters!$B$58*Parameters!$B$113+Parameters!$B$58*Parameters!$B$61/1000*$B$72*1000</x:f>
        <x:v>20332.9</x:v>
      </x:c>
      <x:c r="C105" s="18" t="n">
        <x:v>20332.9</x:v>
      </x:c>
      <x:c r="D105" s="18" t="n">
        <x:f>B105-C105</x:f>
        <x:v>0</x:v>
      </x:c>
      <x:c r="E105" t="str">
        <x:v>tCO2e</x:v>
      </x:c>
      <x:c r="F105" t="str">
        <x:v>Emissions</x:v>
      </x:c>
      <x:c r="G105" t="str">
        <x:v>Seafood — corridor RAS</x:v>
      </x:c>
    </x:row>
    <x:row r="106">
      <x:c r="A106" t="str">
        <x:v>R_bread</x:v>
      </x:c>
      <x:c r="B106" t="n">
        <x:f>$B$23*Parameters!$B$115</x:f>
        <x:v>575.808</x:v>
      </x:c>
      <x:c r="C106" s="18" t="n">
        <x:v>575.808</x:v>
      </x:c>
      <x:c r="D106" s="18" t="n">
        <x:f>B106-C106</x:f>
        <x:v>0</x:v>
      </x:c>
      <x:c r="E106" t="str">
        <x:v>tCO2e</x:v>
      </x:c>
      <x:c r="F106" t="str">
        <x:v>Emissions</x:v>
      </x:c>
      <x:c r="G106" t="str">
        <x:v>Bread — reference</x:v>
      </x:c>
    </x:row>
    <x:row r="107">
      <x:c r="A107" t="str">
        <x:v>J_bread</x:v>
      </x:c>
      <x:c r="B107" t="n">
        <x:f>$B$23*Parameters!$B$116</x:f>
        <x:v>287.904</x:v>
      </x:c>
      <x:c r="C107" s="18" t="n">
        <x:v>287.904</x:v>
      </x:c>
      <x:c r="D107" s="18" t="n">
        <x:f>B107-C107</x:f>
        <x:v>0</x:v>
      </x:c>
      <x:c r="E107" t="str">
        <x:v>tCO2e</x:v>
      </x:c>
      <x:c r="F107" t="str">
        <x:v>Emissions</x:v>
      </x:c>
      <x:c r="G107" t="str">
        <x:v>Bread — project</x:v>
      </x:c>
    </x:row>
    <x:row r="108">
      <x:c r="A108" t="str">
        <x:v>R_beef</x:v>
      </x:c>
      <x:c r="B108" t="n">
        <x:f>$B$2*Parameters!$B$117*Parameters!$B$119/1000</x:f>
        <x:v>3319.056</x:v>
      </x:c>
      <x:c r="C108" s="18" t="n">
        <x:v>3319.056</x:v>
      </x:c>
      <x:c r="D108" s="18" t="n">
        <x:f>B108-C108</x:f>
        <x:v>0</x:v>
      </x:c>
      <x:c r="E108" t="str">
        <x:v>tCO2e</x:v>
      </x:c>
      <x:c r="F108" t="str">
        <x:v>Emissions</x:v>
      </x:c>
      <x:c r="G108" t="str">
        <x:v>Residents' beef — reference</x:v>
      </x:c>
    </x:row>
    <x:row r="109">
      <x:c r="A109" t="str">
        <x:v>J_beef</x:v>
      </x:c>
      <x:c r="B109" t="n">
        <x:f>$B$108*(1-Parameters!$B$121)</x:f>
        <x:v>2182.27932</x:v>
      </x:c>
      <x:c r="C109" s="18" t="n">
        <x:v>2182.27932</x:v>
      </x:c>
      <x:c r="D109" s="18" t="n">
        <x:f>B109-C109</x:f>
        <x:v>0</x:v>
      </x:c>
      <x:c r="E109" t="str">
        <x:v>tCO2e</x:v>
      </x:c>
      <x:c r="F109" t="str">
        <x:v>Emissions</x:v>
      </x:c>
      <x:c r="G109" t="str">
        <x:v>Residents' beef — project</x:v>
      </x:c>
    </x:row>
    <x:row r="110">
      <x:c r="A110" t="str">
        <x:v>R_cheese</x:v>
      </x:c>
      <x:c r="B110" t="n">
        <x:f>$B$2*Parameters!$B$118*Parameters!$B$120/1000</x:f>
        <x:v>2433.9744</x:v>
      </x:c>
      <x:c r="C110" s="18" t="n">
        <x:v>2433.9744</x:v>
      </x:c>
      <x:c r="D110" s="18" t="n">
        <x:f>B110-C110</x:f>
        <x:v>0</x:v>
      </x:c>
      <x:c r="E110" t="str">
        <x:v>tCO2e</x:v>
      </x:c>
      <x:c r="F110" t="str">
        <x:v>Emissions</x:v>
      </x:c>
      <x:c r="G110" t="str">
        <x:v>Residents' cheese — reference</x:v>
      </x:c>
    </x:row>
    <x:row r="111">
      <x:c r="A111" t="str">
        <x:v>J_cheese</x:v>
      </x:c>
      <x:c r="B111" t="n">
        <x:f>$B$110*(1-Parameters!$B$122)</x:f>
        <x:v>1125.71316</x:v>
      </x:c>
      <x:c r="C111" s="18" t="n">
        <x:v>1125.71316</x:v>
      </x:c>
      <x:c r="D111" s="18" t="n">
        <x:f>B111-C111</x:f>
        <x:v>0</x:v>
      </x:c>
      <x:c r="E111" t="str">
        <x:v>tCO2e</x:v>
      </x:c>
      <x:c r="F111" t="str">
        <x:v>Emissions</x:v>
      </x:c>
      <x:c r="G111" t="str">
        <x:v>Residents' cheese — project</x:v>
      </x:c>
    </x:row>
    <x:row r="112">
      <x:c r="A112" t="str">
        <x:v>R_A</x:v>
      </x:c>
      <x:c r="B112" t="n">
        <x:f>$B$74+$B$76+$B$79+$B$81+$B$83+$B$85+$B$87+$B$90</x:f>
        <x:v>113880.4037455307</x:v>
      </x:c>
      <x:c r="C112" s="18" t="n">
        <x:v>113880.40374553068</x:v>
      </x:c>
      <x:c r="D112" s="18" t="n">
        <x:f>B112-C112</x:f>
        <x:v>1.4551915228366852e-11</x:v>
      </x:c>
      <x:c r="E112" t="str">
        <x:v>tCO2e</x:v>
      </x:c>
      <x:c r="F112" t="str">
        <x:v>Totals</x:v>
      </x:c>
      <x:c r="G112" t="str">
        <x:v>Boundary A territorial — reference</x:v>
      </x:c>
    </x:row>
    <x:row r="113">
      <x:c r="A113" t="str">
        <x:v>J_A</x:v>
      </x:c>
      <x:c r="B113" t="n">
        <x:f>$B$75+$B$77+$B$78+$B$80+$B$82+$B$84+$B$86+$B$88+$B$89+$B$91</x:f>
        <x:v>36585.21261520064</x:v>
      </x:c>
      <x:c r="C113" s="18" t="n">
        <x:v>36585.21261520064</x:v>
      </x:c>
      <x:c r="D113" s="18" t="n">
        <x:f>B113-C113</x:f>
        <x:v>0</x:v>
      </x:c>
      <x:c r="E113" t="str">
        <x:v>tCO2e</x:v>
      </x:c>
      <x:c r="F113" t="str">
        <x:v>Totals</x:v>
      </x:c>
      <x:c r="G113" t="str">
        <x:v>Boundary A territorial — project</x:v>
      </x:c>
    </x:row>
    <x:row r="114">
      <x:c r="A114" t="str">
        <x:v>R_B</x:v>
      </x:c>
      <x:c r="B114" t="n">
        <x:f>$B$92+$B$96+$B$99+$B$102+$B$104+$B$106+$B$108+$B$110</x:f>
        <x:v>104316.94162039853</x:v>
      </x:c>
      <x:c r="C114" s="18" t="n">
        <x:v>104316.94162039853</x:v>
      </x:c>
      <x:c r="D114" s="18" t="n">
        <x:f>B114-C114</x:f>
        <x:v>0</x:v>
      </x:c>
      <x:c r="E114" t="str">
        <x:v>tCO2e</x:v>
      </x:c>
      <x:c r="F114" t="str">
        <x:v>Totals</x:v>
      </x:c>
      <x:c r="G114" t="str">
        <x:v>Boundary B value chain — reference</x:v>
      </x:c>
    </x:row>
    <x:row r="115">
      <x:c r="A115" t="str">
        <x:v>J_B</x:v>
      </x:c>
      <x:c r="B115" t="n">
        <x:f>$B$93+$B$94+$B$97+$B$100+$B$103+$B$105+$B$107+$B$109+$B$111</x:f>
        <x:v>29511.324314071735</x:v>
      </x:c>
      <x:c r="C115" s="18" t="n">
        <x:v>29511.324314071735</x:v>
      </x:c>
      <x:c r="D115" s="18" t="n">
        <x:f>B115-C115</x:f>
        <x:v>0</x:v>
      </x:c>
      <x:c r="E115" t="str">
        <x:v>tCO2e</x:v>
      </x:c>
      <x:c r="F115" t="str">
        <x:v>Totals</x:v>
      </x:c>
      <x:c r="G115" t="str">
        <x:v>Boundary B value chain — project</x:v>
      </x:c>
    </x:row>
    <x:row r="116">
      <x:c r="A116" t="str">
        <x:v>R_AB</x:v>
      </x:c>
      <x:c r="B116" t="n">
        <x:f>$B$112+$B$114</x:f>
        <x:v>218197.34536592924</x:v>
      </x:c>
      <x:c r="C116" s="18" t="n">
        <x:v>218197.3453659292</x:v>
      </x:c>
      <x:c r="D116" s="18" t="n">
        <x:f>B116-C116</x:f>
        <x:v>2.9103830456733704e-11</x:v>
      </x:c>
      <x:c r="E116" t="str">
        <x:v>tCO2e</x:v>
      </x:c>
      <x:c r="F116" t="str">
        <x:v>Totals</x:v>
      </x:c>
      <x:c r="G116" t="str">
        <x:v>A+B — reference</x:v>
      </x:c>
    </x:row>
    <x:row r="117">
      <x:c r="A117" t="str">
        <x:v>J_AB</x:v>
      </x:c>
      <x:c r="B117" t="n">
        <x:f>$B$113+$B$115</x:f>
        <x:v>66096.53692927238</x:v>
      </x:c>
      <x:c r="C117" s="18" t="n">
        <x:v>66096.53692927238</x:v>
      </x:c>
      <x:c r="D117" s="18" t="n">
        <x:f>B117-C117</x:f>
        <x:v>0</x:v>
      </x:c>
      <x:c r="E117" t="str">
        <x:v>tCO2e</x:v>
      </x:c>
      <x:c r="F117" t="str">
        <x:v>Totals</x:v>
      </x:c>
      <x:c r="G117" t="str">
        <x:v>A+B — project</x:v>
      </x:c>
    </x:row>
    <x:row r="118">
      <x:c r="A118" t="str">
        <x:v>red_A</x:v>
      </x:c>
      <x:c r="B118" t="n">
        <x:f>1-$B$113/$B$112</x:f>
        <x:v>0.6787400517392664</x:v>
      </x:c>
      <x:c r="C118" s="18" t="n">
        <x:v>0.6787400517392664</x:v>
      </x:c>
      <x:c r="D118" s="18" t="n">
        <x:f>B118-C118</x:f>
        <x:v>0</x:v>
      </x:c>
      <x:c r="E118" t="str">
        <x:v>fraction</x:v>
      </x:c>
      <x:c r="F118" t="str">
        <x:v>Totals</x:v>
      </x:c>
      <x:c r="G118" t="str">
        <x:v>Reduction, territorial</x:v>
      </x:c>
    </x:row>
    <x:row r="119">
      <x:c r="A119" t="str">
        <x:v>red_B</x:v>
      </x:c>
      <x:c r="B119" t="n">
        <x:f>1-$B$115/$B$114</x:f>
        <x:v>0.7170994101661721</x:v>
      </x:c>
      <x:c r="C119" s="18" t="n">
        <x:v>0.7170994101661721</x:v>
      </x:c>
      <x:c r="D119" s="18" t="n">
        <x:f>B119-C119</x:f>
        <x:v>0</x:v>
      </x:c>
      <x:c r="E119" t="str">
        <x:v>fraction</x:v>
      </x:c>
      <x:c r="F119" t="str">
        <x:v>Totals</x:v>
      </x:c>
      <x:c r="G119" t="str">
        <x:v>Reduction, value chain</x:v>
      </x:c>
    </x:row>
    <x:row r="120">
      <x:c r="A120" t="str">
        <x:v>red_AB</x:v>
      </x:c>
      <x:c r="B120" t="n">
        <x:f>1-$B$117/$B$116</x:f>
        <x:v>0.6970790968220775</x:v>
      </x:c>
      <x:c r="C120" s="18" t="n">
        <x:v>0.6970790968220775</x:v>
      </x:c>
      <x:c r="D120" s="18" t="n">
        <x:f>B120-C120</x:f>
        <x:v>0</x:v>
      </x:c>
      <x:c r="E120" t="str">
        <x:v>fraction</x:v>
      </x:c>
      <x:c r="F120" t="str">
        <x:v>Totals</x:v>
      </x:c>
      <x:c r="G120" t="str">
        <x:v>Reduction, A+B</x:v>
      </x:c>
    </x:row>
    <x:row r="121">
      <x:c r="A121" t="str">
        <x:v>R_A_ex_compute</x:v>
      </x:c>
      <x:c r="B121" t="n">
        <x:f>$B$112-$B$90</x:f>
        <x:v>100993.7429455307</x:v>
      </x:c>
      <x:c r="C121" s="18" t="n">
        <x:v>100993.74294553068</x:v>
      </x:c>
      <x:c r="D121" s="18" t="n">
        <x:f>B121-C121</x:f>
        <x:v>1.4551915228366852e-11</x:v>
      </x:c>
      <x:c r="E121" t="str">
        <x:v>tCO2e</x:v>
      </x:c>
      <x:c r="F121" t="str">
        <x:v>Totals</x:v>
      </x:c>
      <x:c r="G121" t="str">
        <x:v>Territorial excluding compute — reference</x:v>
      </x:c>
    </x:row>
    <x:row r="122">
      <x:c r="A122" t="str">
        <x:v>J_A_ex_compute</x:v>
      </x:c>
      <x:c r="B122" t="n">
        <x:f>$B$113-$B$91</x:f>
        <x:v>23586.49389520064</x:v>
      </x:c>
      <x:c r="C122" s="18" t="n">
        <x:v>23586.49389520064</x:v>
      </x:c>
      <x:c r="D122" s="18" t="n">
        <x:f>B122-C122</x:f>
        <x:v>0</x:v>
      </x:c>
      <x:c r="E122" t="str">
        <x:v>tCO2e</x:v>
      </x:c>
      <x:c r="F122" t="str">
        <x:v>Totals</x:v>
      </x:c>
      <x:c r="G122" t="str">
        <x:v>Territorial excluding compute — project</x:v>
      </x:c>
    </x:row>
    <x:row r="123">
      <x:c r="A123" t="str">
        <x:v>red_A_ex_compute</x:v>
      </x:c>
      <x:c r="B123" t="n">
        <x:f>1-$B$122/$B$121</x:f>
        <x:v>0.7664558891740291</x:v>
      </x:c>
      <x:c r="C123" s="18" t="n">
        <x:v>0.7664558891740291</x:v>
      </x:c>
      <x:c r="D123" s="18" t="n">
        <x:f>B123-C123</x:f>
        <x:v>0</x:v>
      </x:c>
      <x:c r="E123" t="str">
        <x:v>fraction</x:v>
      </x:c>
      <x:c r="F123" t="str">
        <x:v>Totals</x:v>
      </x:c>
      <x:c r="G123" t="str">
        <x:v>Reduction, territorial excluding compute</x:v>
      </x:c>
    </x:row>
    <x:row r="124">
      <x:c r="A124" t="str">
        <x:v>pc_R_A</x:v>
      </x:c>
      <x:c r="B124" t="n">
        <x:f>$B$121/$B$2</x:f>
        <x:v>7.120258244890771</x:v>
      </x:c>
      <x:c r="C124" s="18" t="n">
        <x:v>7.1202582448907705</x:v>
      </x:c>
      <x:c r="D124" s="18" t="n">
        <x:f>B124-C124</x:f>
        <x:v>8.881784197001252e-16</x:v>
      </x:c>
      <x:c r="E124" t="str">
        <x:v>tCO2e/person</x:v>
      </x:c>
      <x:c r="F124" t="str">
        <x:v>Totals</x:v>
      </x:c>
      <x:c r="G124" t="str">
        <x:v>Per resident, territorial excl. compute — reference</x:v>
      </x:c>
    </x:row>
    <x:row r="125">
      <x:c r="A125" t="str">
        <x:v>pc_J_A</x:v>
      </x:c>
      <x:c r="B125" t="n">
        <x:f>$B$122/$B$2</x:f>
        <x:v>1.6628943806543035</x:v>
      </x:c>
      <x:c r="C125" s="18" t="n">
        <x:v>1.6628943806543035</x:v>
      </x:c>
      <x:c r="D125" s="18" t="n">
        <x:f>B125-C125</x:f>
        <x:v>0</x:v>
      </x:c>
      <x:c r="E125" t="str">
        <x:v>tCO2e/person</x:v>
      </x:c>
      <x:c r="F125" t="str">
        <x:v>Totals</x:v>
      </x:c>
      <x:c r="G125" t="str">
        <x:v>Per resident, territorial excl. compute — project</x:v>
      </x:c>
    </x:row>
    <x:row r="126">
      <x:c r="A126" t="str">
        <x:v>c_ref_heat_per_gwh</x:v>
      </x:c>
      <x:c r="B126" t="n">
        <x:f>$B$76/$B$10</x:f>
        <x:v>322.0916705882353</x:v>
      </x:c>
      <x:c r="C126" s="18" t="n">
        <x:v>322.0916705882353</x:v>
      </x:c>
      <x:c r="D126" s="18" t="n">
        <x:f>B126-C126</x:f>
        <x:v>0</x:v>
      </x:c>
      <x:c r="E126" t="str">
        <x:v>tCO2e/GWh useful</x:v>
      </x:c>
      <x:c r="F126" t="str">
        <x:v>Attribution</x:v>
      </x:c>
      <x:c r="G126" t="str">
        <x:v>Reference emissions per GWh of useful heat</x:v>
      </x:c>
    </x:row>
    <x:row r="127">
      <x:c r="A127" t="str">
        <x:v>att_heatdisp</x:v>
      </x:c>
      <x:c r="B127" t="n">
        <x:f>$B$126*$B$11-$B$77+($B$92-$B$93)-$B$94</x:f>
        <x:v>45131.64948158768</x:v>
      </x:c>
      <x:c r="C127" s="18" t="n">
        <x:v>45131.64948158768</x:v>
      </x:c>
      <x:c r="D127" s="18" t="n">
        <x:f>B127-C127</x:f>
        <x:v>0</x:v>
      </x:c>
      <x:c r="E127" t="str">
        <x:v>tCO2e</x:v>
      </x:c>
      <x:c r="F127" t="str">
        <x:v>Attribution</x:v>
      </x:c>
      <x:c r="G127" t="str">
        <x:v>Recovered heat displacing fossil heat (district heating, alfalfa dehydration)</x:v>
      </x:c>
    </x:row>
    <x:row r="128">
      <x:c r="A128" t="str">
        <x:v>att_food</x:v>
      </x:c>
      <x:c r="B128" t="n">
        <x:f>($B$102-$B$103)+($B$104-$B$105)+($B$106-$B$107)</x:f>
        <x:v>54015.779</x:v>
      </x:c>
      <x:c r="C128" s="18" t="n">
        <x:v>54015.779</x:v>
      </x:c>
      <x:c r="D128" s="18" t="n">
        <x:f>B128-C128</x:f>
        <x:v>0</x:v>
      </x:c>
      <x:c r="E128" t="str">
        <x:v>tCO2e</x:v>
      </x:c>
      <x:c r="F128" t="str">
        <x:v>Attribution</x:v>
      </x:c>
      <x:c r="G128" t="str">
        <x:v>Food substitution by local production supplied with recovered heat (incl. its electricity)</x:v>
      </x:c>
    </x:row>
    <x:row r="129">
      <x:c r="A129" t="str">
        <x:v>att_compute</x:v>
      </x:c>
      <x:c r="B129" t="n">
        <x:f>$B$90-$B$91</x:f>
        <x:v>-112.05791999999929</x:v>
      </x:c>
      <x:c r="C129" s="18" t="n">
        <x:v>-112.05791999999929</x:v>
      </x:c>
      <x:c r="D129" s="18" t="n">
        <x:f>B129-C129</x:f>
        <x:v>0</x:v>
      </x:c>
      <x:c r="E129" t="str">
        <x:v>tCO2e</x:v>
      </x:c>
      <x:c r="F129" t="str">
        <x:v>Attribution</x:v>
      </x:c>
      <x:c r="G129" t="str">
        <x:v>Compute architecture, direct (network electricity)</x:v>
      </x:c>
    </x:row>
    <x:row r="130">
      <x:c r="A130" t="str">
        <x:v>att_elec</x:v>
      </x:c>
      <x:c r="B130" t="n">
        <x:f>$B$74-$B$75</x:f>
        <x:v>3899.4245584000005</x:v>
      </x:c>
      <x:c r="C130" s="18" t="n">
        <x:v>3899.4245584000005</x:v>
      </x:c>
      <x:c r="D130" s="18" t="n">
        <x:f>B130-C130</x:f>
        <x:v>0</x:v>
      </x:c>
      <x:c r="E130" t="str">
        <x:v>tCO2e</x:v>
      </x:c>
      <x:c r="F130" t="str">
        <x:v>Attribution</x:v>
      </x:c>
      <x:c r="G130" t="str">
        <x:v>Household electricity procurement</x:v>
      </x:c>
    </x:row>
    <x:row r="131">
      <x:c r="A131" t="str">
        <x:v>att_prog</x:v>
      </x:c>
      <x:c r="B131" t="n">
        <x:f>($B$116-$B$117)-$B$127-$B$128-$B$129-$B$130</x:f>
        <x:v>49166.01331666918</x:v>
      </x:c>
      <x:c r="C131" s="18" t="n">
        <x:v>49166.01331666915</x:v>
      </x:c>
      <x:c r="D131" s="18" t="n">
        <x:f>B131-C131</x:f>
        <x:v>2.9103830456733704e-11</x:v>
      </x:c>
      <x:c r="E131" t="str">
        <x:v>tCO2e</x:v>
      </x:c>
      <x:c r="F131" t="str">
        <x:v>Attribution</x:v>
      </x:c>
      <x:c r="G131" t="str">
        <x:v>Programme financed by compute revenue (vehicles, biogas, renewable fuels, livestock, feed, haulage, diets, off-network heat)</x:v>
      </x:c>
    </x:row>
    <x:row r="132">
      <x:c r="A132" t="str">
        <x:v>att_heatdisp_share</x:v>
      </x:c>
      <x:c r="B132" t="n">
        <x:f>$B$127/($B$116-$B$117)</x:f>
        <x:v>0.29672195661197276</x:v>
      </x:c>
      <x:c r="C132" s="18" t="n">
        <x:v>0.2967219566119728</x:v>
      </x:c>
      <x:c r="D132" s="18" t="n">
        <x:f>B132-C132</x:f>
        <x:v>-5.551115123125783e-17</x:v>
      </x:c>
      <x:c r="E132" t="str">
        <x:v>fraction</x:v>
      </x:c>
      <x:c r="F132" t="str">
        <x:v>Attribution</x:v>
      </x:c>
      <x:c r="G132" t="str">
        <x:v>Heat displacement share of the A+B reduction</x:v>
      </x:c>
    </x:row>
    <x:row r="133">
      <x:c r="A133" t="str">
        <x:v>att_food_share</x:v>
      </x:c>
      <x:c r="B133" t="n">
        <x:f>$B$128/($B$116-$B$117)</x:f>
        <x:v>0.3551314391763745</x:v>
      </x:c>
      <x:c r="C133" s="18" t="n">
        <x:v>0.3551314391763746</x:v>
      </x:c>
      <x:c r="D133" s="18" t="n">
        <x:f>B133-C133</x:f>
        <x:v>-5.551115123125783e-17</x:v>
      </x:c>
      <x:c r="E133" t="str">
        <x:v>fraction</x:v>
      </x:c>
      <x:c r="F133" t="str">
        <x:v>Attribution</x:v>
      </x:c>
      <x:c r="G133" t="str">
        <x:v>Food substitution share</x:v>
      </x:c>
    </x:row>
    <x:row r="134">
      <x:c r="A134" t="str">
        <x:v>att_prog_share</x:v>
      </x:c>
      <x:c r="B134" t="n">
        <x:f>$B$131/($B$116-$B$117)</x:f>
        <x:v>0.32324623269273817</x:v>
      </x:c>
      <x:c r="C134" s="18" t="n">
        <x:v>0.32324623269273806</x:v>
      </x:c>
      <x:c r="D134" s="18" t="n">
        <x:f>B134-C134</x:f>
        <x:v>1.1102230246251565e-16</x:v>
      </x:c>
      <x:c r="E134" t="str">
        <x:v>fraction</x:v>
      </x:c>
      <x:c r="F134" t="str">
        <x:v>Attribution</x:v>
      </x:c>
      <x:c r="G134" t="str">
        <x:v>Programme share</x:v>
      </x:c>
    </x:row>
    <x:row r="135">
      <x:c r="A135" t="str">
        <x:v>c_heatdisp_kg_mwh_it</x:v>
      </x:c>
      <x:c r="B135" t="n">
        <x:f>$B$127/$B$25</x:f>
        <x:v>80.55057506258849</x:v>
      </x:c>
      <x:c r="C135" s="18" t="n">
        <x:v>80.55057506258849</x:v>
      </x:c>
      <x:c r="D135" s="18" t="n">
        <x:f>B135-C135</x:f>
        <x:v>0</x:v>
      </x:c>
      <x:c r="E135" t="str">
        <x:v>kgCO2e/MWh IT</x:v>
      </x:c>
      <x:c r="F135" t="str">
        <x:v>Attribution</x:v>
      </x:c>
      <x:c r="G135" t="str">
        <x:v>Fossil heat displaced per MWh of IT energy</x:v>
      </x:c>
    </x:row>
    <x:row r="136">
      <x:c r="A136" t="str">
        <x:v>c_heatdisp_vs_compute</x:v>
      </x:c>
      <x:c r="B136" t="n">
        <x:f>$B$127/$B$91</x:f>
        <x:v>3.4720075458012287</x:v>
      </x:c>
      <x:c r="C136" s="18" t="n">
        <x:v>3.4720075458012287</x:v>
      </x:c>
      <x:c r="D136" s="18" t="n">
        <x:f>B136-C136</x:f>
        <x:v>0</x:v>
      </x:c>
      <x:c r="E136" t="str">
        <x:v>ratio</x:v>
      </x:c>
      <x:c r="F136" t="str">
        <x:v>Attribution</x:v>
      </x:c>
      <x:c r="G136" t="str">
        <x:v>Heat displaced ÷ compute's own operational emissions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39" hidden="0" customWidth="1"/>
    <x:col min="4" max="4" width="19" hidden="0" customWidth="1"/>
    <x:col min="5" max="5" width="19" hidden="0" customWidth="1"/>
    <x:col min="6" max="6" width="19" hidden="0" customWidth="1"/>
    <x:col min="7" max="7" width="14" hidden="0" customWidth="1"/>
  </x:cols>
  <x:sheetData>
    <x:row r="1">
      <x:c r="A1" s="16" t="str">
        <x:v>Sector</x:v>
      </x:c>
      <x:c r="B1" s="16" t="str">
        <x:v>Boundary</x:v>
      </x:c>
      <x:c r="C1" s="16" t="str">
        <x:v>Attribution</x:v>
      </x:c>
      <x:c r="D1" s="16" t="str">
        <x:v>Reference tCO2e/yr</x:v>
      </x:c>
      <x:c r="E1" s="16" t="str">
        <x:v>Project tCO2e/yr</x:v>
      </x:c>
      <x:c r="F1" s="16" t="str">
        <x:v>Reduction tCO2e/yr</x:v>
      </x:c>
      <x:c r="G1" s="16" t="str">
        <x:v>Reduction %</x:v>
      </x:c>
    </x:row>
    <x:row r="2">
      <x:c r="A2" t="str">
        <x:v>Household electricity</x:v>
      </x:c>
      <x:c r="B2" t="str">
        <x:v>A</x:v>
      </x:c>
      <x:c r="C2" t="str">
        <x:v>Electricity procurement</x:v>
      </x:c>
      <x:c r="D2" s="22" t="n">
        <x:v>4227.107294400001</x:v>
      </x:c>
      <x:c r="E2" s="22" t="n">
        <x:v>327.68273600000003</x:v>
      </x:c>
      <x:c r="F2" s="22" t="n">
        <x:v>3899.4245584000005</x:v>
      </x:c>
      <x:c r="G2" s="20" t="n">
        <x:v>0.9224806201550387</x:v>
      </x:c>
    </x:row>
    <x:row r="3">
      <x:c r="A3" t="str">
        <x:v>Space heating</x:v>
      </x:c>
      <x:c r="B3" t="str">
        <x:v>A</x:v>
      </x:c>
      <x:c r="C3" t="str">
        <x:v>Heat displacement (network) / programme (off-network)</x:v>
      </x:c>
      <x:c r="D3" s="22" t="n">
        <x:v>34870.90041539765</x:v>
      </x:c>
      <x:c r="E3" s="22" t="n">
        <x:v>877.4073764307973</x:v>
      </x:c>
      <x:c r="F3" s="22" t="n">
        <x:v>33993.49303896685</x:v>
      </x:c>
      <x:c r="G3" s="20" t="n">
        <x:v>0.9748384077847508</x:v>
      </x:c>
    </x:row>
    <x:row r="4">
      <x:c r="A4" t="str">
        <x:v>Cooking</x:v>
      </x:c>
      <x:c r="B4" t="str">
        <x:v>A</x:v>
      </x:c>
      <x:c r="C4" t="str">
        <x:v>Programme</x:v>
      </x:c>
      <x:c r="D4" s="22" t="n">
        <x:v>2505.7148832</x:v>
      </x:c>
      <x:c r="E4" s="22" t="n">
        <x:v>99.96666666666667</x:v>
      </x:c>
      <x:c r="F4" s="22" t="n">
        <x:v>2405.748216533333</x:v>
      </x:c>
      <x:c r="G4" s="20" t="n">
        <x:v>0.9601045325081036</x:v>
      </x:c>
    </x:row>
    <x:row r="5">
      <x:c r="A5" t="str">
        <x:v>Private mobility</x:v>
      </x:c>
      <x:c r="B5" t="str">
        <x:v>A</x:v>
      </x:c>
      <x:c r="C5" t="str">
        <x:v>Programme</x:v>
      </x:c>
      <x:c r="D5" s="22" t="n">
        <x:v>18472.0635</x:v>
      </x:c>
      <x:c r="E5" s="22" t="n">
        <x:v>526.4352221130434</x:v>
      </x:c>
      <x:c r="F5" s="22" t="n">
        <x:v>17945.628277886957</x:v>
      </x:c>
      <x:c r="G5" s="20" t="n">
        <x:v>0.9715010062566619</x:v>
      </x:c>
    </x:row>
    <x:row r="6">
      <x:c r="A6" t="str">
        <x:v>Farm machinery</x:v>
      </x:c>
      <x:c r="B6" t="str">
        <x:v>A</x:v>
      </x:c>
      <x:c r="C6" t="str">
        <x:v>Programme</x:v>
      </x:c>
      <x:c r="D6" s="22" t="n">
        <x:v>7232.230418405735</x:v>
      </x:c>
      <x:c r="E6" s="22" t="n">
        <x:v>939.5718150407448</x:v>
      </x:c>
      <x:c r="F6" s="22" t="n">
        <x:v>6292.65860336499</x:v>
      </x:c>
      <x:c r="G6" s="20" t="n">
        <x:v>0.8700854700854701</x:v>
      </x:c>
    </x:row>
    <x:row r="7">
      <x:c r="A7" t="str">
        <x:v>Enteric methane</x:v>
      </x:c>
      <x:c r="B7" t="str">
        <x:v>A</x:v>
      </x:c>
      <x:c r="C7" t="str">
        <x:v>Programme</x:v>
      </x:c>
      <x:c r="D7" s="22" t="n">
        <x:v>16956.982705812326</x:v>
      </x:c>
      <x:c r="E7" s="22" t="n">
        <x:v>16956.982705812326</x:v>
      </x:c>
      <x:c r="F7" s="22" t="n">
        <x:v>0</x:v>
      </x:c>
      <x:c r="G7" s="20" t="n">
        <x:v>0</x:v>
      </x:c>
    </x:row>
    <x:row r="8">
      <x:c r="A8" t="str">
        <x:v>Manure management</x:v>
      </x:c>
      <x:c r="B8" t="str">
        <x:v>A</x:v>
      </x:c>
      <x:c r="C8" t="str">
        <x:v>Programme</x:v>
      </x:c>
      <x:c r="D8" s="22" t="n">
        <x:v>16728.74372831499</x:v>
      </x:c>
      <x:c r="E8" s="22" t="n">
        <x:v>3858.44737313706</x:v>
      </x:c>
      <x:c r="F8" s="22" t="n">
        <x:v>12870.296355177928</x:v>
      </x:c>
      <x:c r="G8" s="20" t="n">
        <x:v>0.7693522337480566</x:v>
      </x:c>
    </x:row>
    <x:row r="9">
      <x:c r="A9" t="str">
        <x:v>Compute</x:v>
      </x:c>
      <x:c r="B9" t="str">
        <x:v>A</x:v>
      </x:c>
      <x:c r="C9" t="str">
        <x:v>Compute architecture</x:v>
      </x:c>
      <x:c r="D9" s="22" t="n">
        <x:v>12886.660799999998</x:v>
      </x:c>
      <x:c r="E9" s="22" t="n">
        <x:v>12998.718719999997</x:v>
      </x:c>
      <x:c r="F9" s="22" t="n">
        <x:v>-112.05791999999929</x:v>
      </x:c>
      <x:c r="G9" s="20" t="n">
        <x:v>-0.008695652173912993</x:v>
      </x:c>
    </x:row>
    <x:row r="10">
      <x:c r="A10" t="str">
        <x:v>Alfalfa dehydration</x:v>
      </x:c>
      <x:c r="B10" t="str">
        <x:v>B</x:v>
      </x:c>
      <x:c r="C10" t="str">
        <x:v>Heat displacement</x:v>
      </x:c>
      <x:c r="D10" s="22" t="n">
        <x:v>17038.26992</x:v>
      </x:c>
      <x:c r="E10" s="22" t="n">
        <x:v>212.3681779298546</x:v>
      </x:c>
      <x:c r="F10" s="22" t="n">
        <x:v>16825.901742070146</x:v>
      </x:c>
      <x:c r="G10" s="20" t="n">
        <x:v>0.9875358132646689</x:v>
      </x:c>
    </x:row>
    <x:row r="11">
      <x:c r="A11" t="str">
        <x:v>Other drying line</x:v>
      </x:c>
      <x:c r="B11" t="str">
        <x:v>B</x:v>
      </x:c>
      <x:c r="C11" t="str">
        <x:v>Heat displacement</x:v>
      </x:c>
      <x:c r="D11" s="22" t="n">
        <x:v>0</x:v>
      </x:c>
      <x:c r="E11" s="22" t="n">
        <x:v>99.63182207014542</x:v>
      </x:c>
      <x:c r="F11" s="22" t="n">
        <x:v>-99.63182207014542</x:v>
      </x:c>
      <x:c r="G11" s="20"/>
    </x:row>
    <x:row r="12">
      <x:c r="A12" t="str">
        <x:v>Alfalfa haulage</x:v>
      </x:c>
      <x:c r="B12" t="str">
        <x:v>B</x:v>
      </x:c>
      <x:c r="C12" t="str">
        <x:v>Programme</x:v>
      </x:c>
      <x:c r="D12" s="22" t="n">
        <x:v>1274.427</x:v>
      </x:c>
      <x:c r="E12" s="22" t="n">
        <x:v>127.4427</x:v>
      </x:c>
      <x:c r="F12" s="22" t="n">
        <x:v>1146.9842999999998</x:v>
      </x:c>
      <x:c r="G12" s="20" t="n">
        <x:v>0.9</x:v>
      </x:c>
    </x:row>
    <x:row r="13">
      <x:c r="A13" t="str">
        <x:v>Protein feed</x:v>
      </x:c>
      <x:c r="B13" t="str">
        <x:v>B</x:v>
      </x:c>
      <x:c r="C13" t="str">
        <x:v>Programme</x:v>
      </x:c>
      <x:c r="D13" s="22" t="n">
        <x:v>575.05630039853</x:v>
      </x:c>
      <x:c r="E13" s="22" t="n">
        <x:v>103.5101340717354</x:v>
      </x:c>
      <x:c r="F13" s="22" t="n">
        <x:v>471.5461663267946</x:v>
      </x:c>
      <x:c r="G13" s="20" t="n">
        <x:v>0.8200000000000001</x:v>
      </x:c>
    </x:row>
    <x:row r="14">
      <x:c r="A14" t="str">
        <x:v>Vegetables</x:v>
      </x:c>
      <x:c r="B14" t="str">
        <x:v>B</x:v>
      </x:c>
      <x:c r="C14" t="str">
        <x:v>Food substitution</x:v>
      </x:c>
      <x:c r="D14" s="22" t="n">
        <x:v>13510.349999999999</x:v>
      </x:c>
      <x:c r="E14" s="22" t="n">
        <x:v>5039.575</x:v>
      </x:c>
      <x:c r="F14" s="22" t="n">
        <x:v>8470.774999999998</x:v>
      </x:c>
      <x:c r="G14" s="20" t="n">
        <x:v>0.626984126984127</x:v>
      </x:c>
    </x:row>
    <x:row r="15">
      <x:c r="A15" t="str">
        <x:v>Seafood</x:v>
      </x:c>
      <x:c r="B15" t="str">
        <x:v>B</x:v>
      </x:c>
      <x:c r="C15" t="str">
        <x:v>Food substitution</x:v>
      </x:c>
      <x:c r="D15" s="22" t="n">
        <x:v>65590</x:v>
      </x:c>
      <x:c r="E15" s="22" t="n">
        <x:v>20332.9</x:v>
      </x:c>
      <x:c r="F15" s="22" t="n">
        <x:v>45257.1</x:v>
      </x:c>
      <x:c r="G15" s="20" t="n">
        <x:v>0.69</x:v>
      </x:c>
    </x:row>
    <x:row r="16">
      <x:c r="A16" t="str">
        <x:v>Bread</x:v>
      </x:c>
      <x:c r="B16" t="str">
        <x:v>B</x:v>
      </x:c>
      <x:c r="C16" t="str">
        <x:v>Food substitution</x:v>
      </x:c>
      <x:c r="D16" s="22" t="n">
        <x:v>575.808</x:v>
      </x:c>
      <x:c r="E16" s="22" t="n">
        <x:v>287.904</x:v>
      </x:c>
      <x:c r="F16" s="22" t="n">
        <x:v>287.904</x:v>
      </x:c>
      <x:c r="G16" s="20" t="n">
        <x:v>0.5</x:v>
      </x:c>
    </x:row>
    <x:row r="17">
      <x:c r="A17" t="str">
        <x:v>Residents' beef</x:v>
      </x:c>
      <x:c r="B17" t="str">
        <x:v>B</x:v>
      </x:c>
      <x:c r="C17" t="str">
        <x:v>Programme</x:v>
      </x:c>
      <x:c r="D17" s="22" t="n">
        <x:v>3319.056</x:v>
      </x:c>
      <x:c r="E17" s="22" t="n">
        <x:v>2182.27932</x:v>
      </x:c>
      <x:c r="F17" s="22" t="n">
        <x:v>1136.77668</x:v>
      </x:c>
      <x:c r="G17" s="20" t="n">
        <x:v>0.3425</x:v>
      </x:c>
    </x:row>
    <x:row r="18">
      <x:c r="A18" t="str">
        <x:v>Residents' cheese</x:v>
      </x:c>
      <x:c r="B18" t="str">
        <x:v>B</x:v>
      </x:c>
      <x:c r="C18" t="str">
        <x:v>Programme</x:v>
      </x:c>
      <x:c r="D18" s="22" t="n">
        <x:v>2433.9744</x:v>
      </x:c>
      <x:c r="E18" s="22" t="n">
        <x:v>1125.71316</x:v>
      </x:c>
      <x:c r="F18" s="22" t="n">
        <x:v>1308.26124</x:v>
      </x:c>
      <x:c r="G18" s="20" t="n">
        <x:v>0.5375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6" t="str">
        <x:v>Input</x:v>
      </x:c>
      <x:c r="B1" s="16" t="str">
        <x:v>First reduction</x:v>
      </x:c>
      <x:c r="C1" s="16" t="str">
        <x:v>Central reduction</x:v>
      </x:c>
      <x:c r="D1" s="16" t="str">
        <x:v>Second reduction</x:v>
      </x:c>
      <x:c r="E1" s="16" t="str">
        <x:v>First saving t</x:v>
      </x:c>
      <x:c r="F1" s="16" t="str">
        <x:v>Central saving t</x:v>
      </x:c>
      <x:c r="G1" s="16" t="str">
        <x:v>Second saving t</x:v>
      </x:c>
    </x:row>
    <x:row r="2">
      <x:c r="A2" t="str">
        <x:v>Reference heating mix: all natural gas ↔ all heating oil</x:v>
      </x:c>
      <x:c r="B2" s="20" t="n">
        <x:v>0.6888432709877952</x:v>
      </x:c>
      <x:c r="C2" s="20" t="n">
        <x:v>0.6970790968220775</x:v>
      </x:c>
      <x:c r="D2" s="20" t="n">
        <x:v>0.7072754666256136</x:v>
      </x:c>
      <x:c r="E2" s="22" t="n">
        <x:v>146325.47026659254</x:v>
      </x:c>
      <x:c r="F2" s="22" t="n">
        <x:v>152100.80843665684</x:v>
      </x:c>
      <x:c r="G2" s="22" t="n">
        <x:v>159701.1991447886</x:v>
      </x:c>
    </x:row>
    <x:row r="3">
      <x:c r="A3" t="str">
        <x:v>Livestock numbers ×0.5 ↔ ×1.5</x:v>
      </x:c>
      <x:c r="B3" s="20" t="n">
        <x:v>0.7194711288690665</x:v>
      </x:c>
      <x:c r="C3" s="20" t="n">
        <x:v>0.6970790968220775</x:v>
      </x:c>
      <x:c r="D3" s="20" t="n">
        <x:v>0.6763166223850047</x:v>
      </x:c>
      <x:c r="E3" s="22" t="n">
        <x:v>144661.86837168512</x:v>
      </x:c>
      <x:c r="F3" s="22" t="n">
        <x:v>152100.80843665684</x:v>
      </x:c>
      <x:c r="G3" s="22" t="n">
        <x:v>159156.0600609001</x:v>
      </x:c>
    </x:row>
    <x:row r="4">
      <x:c r="A4" t="str">
        <x:v>Enteric-methane additive efficacy 0% ↔ 80%</x:v>
      </x:c>
      <x:c r="B4" s="20" t="n">
        <x:v>0.6970790968220775</x:v>
      </x:c>
      <x:c r="C4" s="20" t="n">
        <x:v>0.6970790968220775</x:v>
      </x:c>
      <x:c r="D4" s="20" t="n">
        <x:v>0.7030056936842297</x:v>
      </x:c>
      <x:c r="E4" s="22" t="n">
        <x:v>152100.80843665684</x:v>
      </x:c>
      <x:c r="F4" s="22" t="n">
        <x:v>152100.80843665684</x:v>
      </x:c>
      <x:c r="G4" s="22" t="n">
        <x:v>153393.97613903251</x:v>
      </x:c>
    </x:row>
    <x:row r="5">
      <x:c r="A5" t="str">
        <x:v>Pig slurry routed to digester 30% ↔ 100%</x:v>
      </x:c>
      <x:c r="B5" s="20" t="n">
        <x:v>0.6513231079451833</x:v>
      </x:c>
      <x:c r="C5" s="20" t="n">
        <x:v>0.6970790968220775</x:v>
      </x:c>
      <x:c r="D5" s="20" t="n">
        <x:v>0.6970790968220775</x:v>
      </x:c>
      <x:c r="E5" s="22" t="n">
        <x:v>142116.97312912554</x:v>
      </x:c>
      <x:c r="F5" s="22" t="n">
        <x:v>152100.80843665684</x:v>
      </x:c>
      <x:c r="G5" s="22" t="n">
        <x:v>152100.80843665684</x:v>
      </x:c>
    </x:row>
    <x:row r="6">
      <x:c r="A6" t="str">
        <x:v>Digester methane avoidance 80% ↔ 95%</x:v>
      </x:c>
      <x:c r="B6" s="20" t="n">
        <x:v>0.6895833204470139</x:v>
      </x:c>
      <x:c r="C6" s="20" t="n">
        <x:v>0.6970790968220775</x:v>
      </x:c>
      <x:c r="D6" s="20" t="n">
        <x:v>0.7008269850096092</x:v>
      </x:c>
      <x:c r="E6" s="22" t="n">
        <x:v>150465.2499301613</x:v>
      </x:c>
      <x:c r="F6" s="22" t="n">
        <x:v>152100.80843665684</x:v>
      </x:c>
      <x:c r="G6" s="22" t="n">
        <x:v>152918.5876899046</x:v>
      </x:c>
    </x:row>
    <x:row r="7">
      <x:c r="A7" t="str">
        <x:v>Biomethane-chain methane leakage 1% ↔ 6%</x:v>
      </x:c>
      <x:c r="B7" s="20" t="n">
        <x:v>0.7024727231684622</x:v>
      </x:c>
      <x:c r="C7" s="20" t="n">
        <x:v>0.6970790968220775</x:v>
      </x:c>
      <x:c r="D7" s="20" t="n">
        <x:v>0.6889886573025004</x:v>
      </x:c>
      <x:c r="E7" s="22" t="n">
        <x:v>153277.68338733373</x:v>
      </x:c>
      <x:c r="F7" s="22" t="n">
        <x:v>152100.80843665684</x:v>
      </x:c>
      <x:c r="G7" s="22" t="n">
        <x:v>150335.4960106415</x:v>
      </x:c>
    </x:row>
    <x:row r="8">
      <x:c r="A8" t="str">
        <x:v>Renewable liquid fuel 40 ↔ 10 gCO2e/MJ</x:v>
      </x:c>
      <x:c r="B8" s="20" t="n">
        <x:v>0.6873267169121638</x:v>
      </x:c>
      <x:c r="C8" s="20" t="n">
        <x:v>0.6970790968220775</x:v>
      </x:c>
      <x:c r="D8" s="20" t="n">
        <x:v>0.6995171917995558</x:v>
      </x:c>
      <x:c r="E8" s="22" t="n">
        <x:v>149972.86502931366</x:v>
      </x:c>
      <x:c r="F8" s="22" t="n">
        <x:v>152100.80843665684</x:v>
      </x:c>
      <x:c r="G8" s="22" t="n">
        <x:v>152632.79428849265</x:v>
      </x:c>
    </x:row>
    <x:row r="9">
      <x:c r="A9" t="str">
        <x:v>Seafood reference 5 ↔ 20 kgCO2e/kg</x:v>
      </x:c>
      <x:c r="B9" s="20" t="n">
        <x:v>0.6434967594459637</x:v>
      </x:c>
      <x:c r="C9" s="20" t="n">
        <x:v>0.6970790968220775</x:v>
      </x:c>
      <x:c r="D9" s="20" t="n">
        <x:v>0.7670913167602865</x:v>
      </x:c>
      <x:c r="E9" s="22" t="n">
        <x:v>119305.80843665684</x:v>
      </x:c>
      <x:c r="F9" s="22" t="n">
        <x:v>152100.80843665684</x:v>
      </x:c>
      <x:c r="G9" s="22" t="n">
        <x:v>217690.80843665687</x:v>
      </x:c>
    </x:row>
    <x:row r="10">
      <x:c r="A10" t="str">
        <x:v>Glasshouse yield 30 ↔ 60 kg/m²</x:v>
      </x:c>
      <x:c r="B10" s="20" t="n">
        <x:v>0.6982217867345115</x:v>
      </x:c>
      <x:c r="C10" s="20" t="n">
        <x:v>0.6970790968220775</x:v>
      </x:c>
      <x:c r="D10" s="20" t="n">
        <x:v>0.6959826218041856</x:v>
      </x:c>
      <x:c r="E10" s="22" t="n">
        <x:v>149205.73343665685</x:v>
      </x:c>
      <x:c r="F10" s="22" t="n">
        <x:v>152100.80843665684</x:v>
      </x:c>
      <x:c r="G10" s="22" t="n">
        <x:v>154995.88343665682</x:v>
      </x:c>
    </x:row>
    <x:row r="11">
      <x:c r="A11" t="str">
        <x:v>Useful heat per household 9,000 ↔ 18,050 kWh</x:v>
      </x:c>
      <x:c r="B11" s="20" t="n">
        <x:v>0.6738388134208342</x:v>
      </x:c>
      <x:c r="C11" s="20" t="n">
        <x:v>0.6970790968220775</x:v>
      </x:c>
      <x:c r="D11" s="20" t="n">
        <x:v>0.6970790968220775</x:v>
      </x:c>
      <x:c r="E11" s="22" t="n">
        <x:v>135248.61238506506</x:v>
      </x:c>
      <x:c r="F11" s="22" t="n">
        <x:v>152100.80843665684</x:v>
      </x:c>
      <x:c r="G11" s="22" t="n">
        <x:v>152100.80843665684</x:v>
      </x:c>
    </x:row>
    <x:row r="12">
      <x:c r="A12" t="str">
        <x:v>Reference dehydrator fuel 3.5 ↔ 4.5 MJ/kg water</x:v>
      </x:c>
      <x:c r="B12" s="20" t="n">
        <x:v>0.6940931973689638</x:v>
      </x:c>
      <x:c r="C12" s="20" t="n">
        <x:v>0.6970790968220775</x:v>
      </x:c>
      <x:c r="D12" s="20" t="n">
        <x:v>0.7000072701101898</x:v>
      </x:c>
      <x:c r="E12" s="22" t="n">
        <x:v>149971.02469665682</x:v>
      </x:c>
      <x:c r="F12" s="22" t="n">
        <x:v>152100.80843665684</x:v>
      </x:c>
      <x:c r="G12" s="22" t="n">
        <x:v>154230.59217665685</x:v>
      </x:c>
    </x:row>
    <x:row r="13">
      <x:c r="A13" t="str">
        <x:v>Alfalfa reference: sun-cured (no drying credit) ↔ gas dehydration</x:v>
      </x:c>
      <x:c r="B13" s="20" t="n">
        <x:v>0.6714215514127332</x:v>
      </x:c>
      <x:c r="C13" s="20" t="n">
        <x:v>0.6970790968220775</x:v>
      </x:c>
      <x:c r="D13" s="20" t="n">
        <x:v>0.6970790968220775</x:v>
      </x:c>
      <x:c r="E13" s="22" t="n">
        <x:v>135062.53851665684</x:v>
      </x:c>
      <x:c r="F13" s="22" t="n">
        <x:v>152100.80843665684</x:v>
      </x:c>
      <x:c r="G13" s="22" t="n">
        <x:v>152100.80843665684</x:v>
      </x:c>
    </x:row>
    <x:row r="14">
      <x:c r="A14" t="str">
        <x:v>Mega-campus PUE 1.10 ↔ 1.45</x:v>
      </x:c>
      <x:c r="B14" s="20" t="n">
        <x:v>0.6962992506186085</x:v>
      </x:c>
      <x:c r="C14" s="20" t="n">
        <x:v>0.6970790968220775</x:v>
      </x:c>
      <x:c r="D14" s="20" t="n">
        <x:v>0.7016753452647368</x:v>
      </x:c>
      <x:c r="E14" s="22" t="n">
        <x:v>151540.51883665685</x:v>
      </x:c>
      <x:c r="F14" s="22" t="n">
        <x:v>152100.80843665684</x:v>
      </x:c>
      <x:c r="G14" s="22" t="n">
        <x:v>155462.54603665686</x:v>
      </x:c>
    </x:row>
    <x:row r="15">
      <x:c r="A15" t="str">
        <x:v>Network electricity 3% ↔ 0.5% of IT</x:v>
      </x:c>
      <x:c r="B15" s="20" t="n">
        <x:v>0.6960519723186874</x:v>
      </x:c>
      <x:c r="C15" s="20" t="n">
        <x:v>0.6970790968220775</x:v>
      </x:c>
      <x:c r="D15" s="20" t="n">
        <x:v>0.697335877947925</x:v>
      </x:c>
      <x:c r="E15" s="22" t="n">
        <x:v>151876.69259665685</x:v>
      </x:c>
      <x:c r="F15" s="22" t="n">
        <x:v>152100.80843665684</x:v>
      </x:c>
      <x:c r="G15" s="22" t="n">
        <x:v>152156.83739665686</x:v>
      </x:c>
    </x:row>
    <x:row r="16">
      <x:c r="A16" t="str">
        <x:v>Renewable lifecycle factor 0.04 ↔ 0.01</x:v>
      </x:c>
      <x:c r="B16" s="20" t="n">
        <x:v>0.6485666509001575</x:v>
      </x:c>
      <x:c r="C16" s="20" t="n">
        <x:v>0.6970790968220775</x:v>
      </x:c>
      <x:c r="D16" s="20" t="n">
        <x:v>0.7235495520678705</x:v>
      </x:c>
      <x:c r="E16" s="22" t="n">
        <x:v>149873.37995562804</x:v>
      </x:c>
      <x:c r="F16" s="22" t="n">
        <x:v>152100.80843665684</x:v>
      </x:c>
      <x:c r="G16" s="22" t="n">
        <x:v>153214.52267717122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20" hidden="0" customWidth="1"/>
    <x:col min="3" max="3" width="22" hidden="0" customWidth="1"/>
    <x:col min="4" max="4" width="28" hidden="0" customWidth="1"/>
  </x:cols>
  <x:sheetData>
    <x:row r="1">
      <x:c r="A1" s="16" t="str">
        <x:v>Scenario</x:v>
      </x:c>
      <x:c r="B1" s="16" t="str">
        <x:v>Integrated reduction</x:v>
      </x:c>
      <x:c r="C1" s="16" t="str">
        <x:v>Saving tCO2e/yr</x:v>
      </x:c>
      <x:c r="D1" s="16" t="str">
        <x:v>Heat displacement kgCO2e/MWh IT</x:v>
      </x:c>
    </x:row>
    <x:row r="2">
      <x:c r="A2" t="str">
        <x:v>Central</x:v>
      </x:c>
      <x:c r="B2" s="20" t="n">
        <x:v>0.6970790968220775</x:v>
      </x:c>
      <x:c r="C2" s="22" t="n">
        <x:v>152100.80843665684</x:v>
      </x:c>
      <x:c r="D2" s="22" t="n">
        <x:v>80.55057506258849</x:v>
      </x:c>
    </x:row>
    <x:row r="3">
      <x:c r="A3" t="str">
        <x:v>Joint unfavourable settings; gas-dehydration reference retained</x:v>
      </x:c>
      <x:c r="B3" s="20" t="n">
        <x:v>0.4337470673293149</x:v>
      </x:c>
      <x:c r="C3" s="22" t="n">
        <x:v>85148.48198767313</x:v>
      </x:c>
      <x:c r="D3" s="22" t="n">
        <x:v>46.296664281046574</x:v>
      </x:c>
    </x:row>
    <x:row r="4">
      <x:c r="A4" t="str">
        <x:v>Joint unfavourable settings plus sun-cured alfalfa reference</x:v>
      </x:c>
      <x:c r="B4" s="20" t="n">
        <x:v>0.38720932199715064</x:v>
      </x:c>
      <x:c r="C4" s="22" t="n">
        <x:v>70239.99580767313</x:v>
      </x:c>
      <x:c r="D4" s="22" t="n">
        <x:v>19.688127945551496</x:v>
      </x:c>
    </x:row>
    <x:row r="5">
      <x:c r="A5" t="str">
        <x:v>Joint favourable settings; gas-dehydration reference retained</x:v>
      </x:c>
      <x:c r="B5" s="20" t="n">
        <x:v>0.832634955539121</x:v>
      </x:c>
      <x:c r="C5" s="22" t="n">
        <x:v>222414.4625127896</x:v>
      </x:c>
      <x:c r="D5" s="22" t="n">
        <x:v>96.03857513039637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24" hidden="0" customWidth="1"/>
    <x:col min="3" max="3" width="20" hidden="0" customWidth="1"/>
    <x:col min="4" max="4" width="20" hidden="0" customWidth="1"/>
  </x:cols>
  <x:sheetData>
    <x:row r="1">
      <x:c r="A1" s="16" t="str">
        <x:v>Case</x:v>
      </x:c>
      <x:c r="B1" s="16" t="str">
        <x:v>Heat displacement tCO2e/yr</x:v>
      </x:c>
      <x:c r="C1" s="16" t="str">
        <x:v>kgCO2e/MWh IT</x:v>
      </x:c>
      <x:c r="D1" s="16" t="str">
        <x:v>Integrated reduction</x:v>
      </x:c>
    </x:row>
    <x:row r="2">
      <x:c r="A2" t="str">
        <x:v>Central</x:v>
      </x:c>
      <x:c r="B2" s="22" t="n">
        <x:v>45131.64948158768</x:v>
      </x:c>
      <x:c r="C2" s="22" t="n">
        <x:v>80.55057506258849</x:v>
      </x:c>
      <x:c r="D2" s="20" t="n">
        <x:v>0.6970790968220775</x:v>
      </x:c>
    </x:row>
    <x:row r="3">
      <x:c r="A3" t="str">
        <x:v>Useful household heat 9,000 kWh yr-1</x:v>
      </x:c>
      <x:c r="B3" s="22" t="n">
        <x:v>30889.61706982211</x:v>
      </x:c>
      <x:c r="C3" s="22" t="n">
        <x:v>55.131519610255324</x:v>
      </x:c>
      <x:c r="D3" s="20" t="n">
        <x:v>0.6738388134208342</x:v>
      </x:c>
    </x:row>
    <x:row r="4">
      <x:c r="A4" t="str">
        <x:v>Reference heating all natural gas</x:v>
      </x:c>
      <x:c r="B4" s="22" t="n">
        <x:v>40380.81278083787</x:v>
      </x:c>
      <x:c r="C4" s="22" t="n">
        <x:v>72.07132308155974</x:v>
      </x:c>
      <x:c r="D4" s="20" t="n">
        <x:v>0.6888432709877952</x:v>
      </x:c>
    </x:row>
    <x:row r="5">
      <x:c r="A5" t="str">
        <x:v>Reference heating all heating oil</x:v>
      </x:c>
      <x:c r="B5" s="22" t="n">
        <x:v>51383.788153465335</x:v>
      </x:c>
      <x:c r="C5" s="22" t="n">
        <x:v>91.70933773081875</x:v>
      </x:c>
      <x:c r="D5" s="20" t="n">
        <x:v>0.7072754666256136</x:v>
      </x:c>
    </x:row>
    <x:row r="6">
      <x:c r="A6" t="str">
        <x:v>Reference dehydrator 3.5 MJ kg-1 water</x:v>
      </x:c>
      <x:c r="B6" s="22" t="n">
        <x:v>43001.86574158767</x:v>
      </x:c>
      <x:c r="C6" s="22" t="n">
        <x:v>76.7493555860892</x:v>
      </x:c>
      <x:c r="D6" s="20" t="n">
        <x:v>0.6940931973689638</x:v>
      </x:c>
    </x:row>
    <x:row r="7">
      <x:c r="A7" t="str">
        <x:v>Reference dehydrator 4.5 MJ kg-1 water</x:v>
      </x:c>
      <x:c r="B7" s="22" t="n">
        <x:v>47261.43322158768</x:v>
      </x:c>
      <x:c r="C7" s="22" t="n">
        <x:v>84.35179453908779</x:v>
      </x:c>
      <x:c r="D7" s="20" t="n">
        <x:v>0.7000072701101898</x:v>
      </x:c>
    </x:row>
    <x:row r="8">
      <x:c r="A8" t="str">
        <x:v>Alfalfa reference sun-cured</x:v>
      </x:c>
      <x:c r="B8" s="22" t="n">
        <x:v>28093.379561587677</x:v>
      </x:c>
      <x:c r="C8" s="22" t="n">
        <x:v>50.14081925059412</x:v>
      </x:c>
      <x:c r="D8" s="20" t="n">
        <x:v>0.6714215514127332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8" hidden="0" customWidth="1"/>
    <x:col min="2" max="2" width="16" hidden="0" customWidth="1"/>
    <x:col min="3" max="3" width="20" hidden="0" customWidth="1"/>
    <x:col min="4" max="4" width="20" hidden="0" customWidth="1"/>
  </x:cols>
  <x:sheetData>
    <x:row r="1">
      <x:c r="A1" s="16" t="str">
        <x:v>Case</x:v>
      </x:c>
      <x:c r="B1" s="16" t="str">
        <x:v>Efficacy</x:v>
      </x:c>
      <x:c r="C1" s="16" t="str">
        <x:v>Avoided CH4 t/yr</x:v>
      </x:c>
      <x:c r="D1" s="16" t="str">
        <x:v>Integrated reduction</x:v>
      </x:c>
    </x:row>
    <x:row r="2">
      <x:c r="A2" t="str">
        <x:v>Central: no enteric-additive credit</x:v>
      </x:c>
      <x:c r="B2" s="20" t="n">
        <x:v>0</x:v>
      </x:c>
      <x:c r="C2" s="22" t="n">
        <x:v>0</x:v>
      </x:c>
      <x:c r="D2" s="20" t="n">
        <x:v>0.6970790968220775</x:v>
      </x:c>
    </x:row>
    <x:row r="3">
      <x:c r="A3" t="str">
        <x:v>3-NOP screening case: 30% efficacy on 70% of cattle-days</x:v>
      </x:c>
      <x:c r="B3" s="20" t="n">
        <x:v>0.3</x:v>
      </x:c>
      <x:c r="C3" s="22" t="n">
        <x:v>17.960662532995183</x:v>
      </x:c>
      <x:c r="D3" s="20" t="n">
        <x:v>0.6993015706453845</x:v>
      </x:c>
    </x:row>
    <x:row r="4">
      <x:c r="A4" t="str">
        <x:v>Asparagopsis upper screening case: 80% efficacy</x:v>
      </x:c>
      <x:c r="B4" s="20" t="n">
        <x:v>0.8</x:v>
      </x:c>
      <x:c r="C4" s="22" t="n">
        <x:v>47.89510008798716</x:v>
      </x:c>
      <x:c r="D4" s="20" t="n">
        <x:v>0.7030056936842297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22" hidden="0" customWidth="1"/>
    <x:col min="3" max="3" width="22" hidden="0" customWidth="1"/>
    <x:col min="4" max="4" width="16" hidden="0" customWidth="1"/>
  </x:cols>
  <x:sheetData>
    <x:row r="1">
      <x:c r="A1" s="16" t="str">
        <x:v>Case</x:v>
      </x:c>
      <x:c r="B1" s="16" t="str">
        <x:v>Reference tCO2e/yr</x:v>
      </x:c>
      <x:c r="C1" s="16" t="str">
        <x:v>Project tCO2e/yr</x:v>
      </x:c>
      <x:c r="D1" s="16" t="str">
        <x:v>Reduction</x:v>
      </x:c>
    </x:row>
    <x:row r="2">
      <x:c r="A2" t="str">
        <x:v>Integrated programme screen: market-based, campus with the same procurement and PUE</x:v>
      </x:c>
      <x:c r="B2" s="22" t="n">
        <x:v>218197.3453659292</x:v>
      </x:c>
      <x:c r="C2" s="22" t="n">
        <x:v>66096.53692927238</x:v>
      </x:c>
      <x:c r="D2" s="20" t="n">
        <x:v>0.6970790968220775</x:v>
      </x:c>
    </x:row>
    <x:row r="3">
      <x:c r="A3" t="str">
        <x:v>Location-based, campus with the same own generation and PUE</x:v>
      </x:c>
      <x:c r="B3" s="22" t="n">
        <x:v>239074.81449169933</x:v>
      </x:c>
      <x:c r="C3" s="22" t="n">
        <x:v>109395.95162747323</x:v>
      </x:c>
      <x:c r="D3" s="20" t="n">
        <x:v>0.5424195900347695</x:v>
      </x:c>
    </x:row>
    <x:row r="4">
      <x:c r="A4" t="str">
        <x:v>Market-based, excluding food substitution</x:v>
      </x:c>
      <x:c r="B4" s="22" t="n">
        <x:v>138521.1873659292</x:v>
      </x:c>
      <x:c r="C4" s="22" t="n">
        <x:v>40436.157929272376</x:v>
      </x:c>
      <x:c r="D4" s="20" t="n">
        <x:v>0.7080868371243972</x:v>
      </x:c>
    </x:row>
    <x:row r="5">
      <x:c r="A5" t="str">
        <x:v>Unmatched: campus on the residual grid mix, PUE 1.15</x:v>
      </x:c>
      <x:c r="B5" s="22" t="n">
        <x:v>371548.6088859292</x:v>
      </x:c>
      <x:c r="C5" s="22" t="n">
        <x:v>66096.53692927238</x:v>
      </x:c>
      <x:c r="D5" s="20" t="n">
        <x:v>0.8221052768103219</x:v>
      </x:c>
    </x:row>
    <x:row r="6">
      <x:c r="A6" t="str">
        <x:v>Unmatched: campus on the residual grid mix, PUE 1.45</x:v>
      </x:c>
      <x:c r="B6" s="22" t="n">
        <x:v>414915.0239259292</x:v>
      </x:c>
      <x:c r="C6" s="22" t="n">
        <x:v>66096.53692927238</x:v>
      </x:c>
      <x:c r="D6" s="20" t="n">
        <x:v>0.8406986175051787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68" hidden="0" customWidth="1"/>
    <x:col min="2" max="2" width="22" hidden="0" customWidth="1"/>
    <x:col min="3" max="3" width="32" hidden="0" customWidth="1"/>
  </x:cols>
  <x:sheetData>
    <x:row r="1">
      <x:c r="A1" s="16" t="str">
        <x:v>Metric</x:v>
      </x:c>
      <x:c r="B1" s="16" t="str">
        <x:v>Value</x:v>
      </x:c>
      <x:c r="C1" s="16" t="str">
        <x:v>Unit</x:v>
      </x:c>
    </x:row>
    <x:row r="2">
      <x:c r="A2" t="str">
        <x:v>Pig slurry routed to digester</x:v>
      </x:c>
      <x:c r="B2" t="n">
        <x:v>1</x:v>
      </x:c>
      <x:c r="C2" t="str">
        <x:v>fraction</x:v>
      </x:c>
    </x:row>
    <x:row r="3">
      <x:c r="A3" t="str">
        <x:v>Cattle manure routed (housed/collectable share)</x:v>
      </x:c>
      <x:c r="B3" t="n">
        <x:v>0.5</x:v>
      </x:c>
      <x:c r="C3" t="str">
        <x:v>fraction of total cattle manure</x:v>
      </x:c>
    </x:row>
    <x:row r="4">
      <x:c r="A4" t="str">
        <x:v>Managed-manure storage CH4 avoided</x:v>
      </x:c>
      <x:c r="B4" t="n">
        <x:v>0.9</x:v>
      </x:c>
      <x:c r="C4" t="str">
        <x:v>fraction</x:v>
      </x:c>
    </x:row>
    <x:row r="5">
      <x:c r="A5" t="str">
        <x:v>Biomethane-chain methane leakage</x:v>
      </x:c>
      <x:c r="B5" t="n">
        <x:v>0.03</x:v>
      </x:c>
      <x:c r="C5" t="str">
        <x:v>fraction of gross biogas CH4</x:v>
      </x:c>
    </x:row>
    <x:row r="6">
      <x:c r="A6" t="str">
        <x:v>Managed-manure + biomethane-chain residual methane intensity</x:v>
      </x:c>
      <x:c r="B6" t="n">
        <x:v>0.057794941264657354</x:v>
      </x:c>
      <x:c r="C6" t="str">
        <x:v>fraction of gross biogas CH4</x:v>
      </x:c>
    </x:row>
    <x:row r="7">
      <x:c r="A7" t="str">
        <x:v>Wet manure transported</x:v>
      </x:c>
      <x:c r="B7" t="n">
        <x:v>135749.94130738574</x:v>
      </x:c>
      <x:c r="C7" t="str">
        <x:v>t/yr</x:v>
      </x:c>
    </x:row>
    <x:row r="8">
      <x:c r="A8" t="str">
        <x:v>Average one-way manure haul</x:v>
      </x:c>
      <x:c r="B8" t="n">
        <x:v>20</x:v>
      </x:c>
      <x:c r="C8" t="str">
        <x:v>km</x:v>
      </x:c>
    </x:row>
    <x:row r="9">
      <x:c r="A9" t="str">
        <x:v>Slurry/manure transport emissions</x:v>
      </x:c>
      <x:c r="B9" t="n">
        <x:v>84.41777726645525</x:v>
      </x:c>
      <x:c r="C9" t="str">
        <x:v>tCO2e/yr</x:v>
      </x:c>
    </x:row>
    <x:row r="10">
      <x:c r="A10" t="str">
        <x:v>Reference manure methane</x:v>
      </x:c>
      <x:c r="B10" t="n">
        <x:v>16728.74372831499</x:v>
      </x:c>
      <x:c r="C10" t="str">
        <x:v>tCO2e/yr</x:v>
      </x:c>
    </x:row>
    <x:row r="11">
      <x:c r="A11" t="str">
        <x:v>Project manure methane</x:v>
      </x:c>
      <x:c r="B11" t="n">
        <x:v>3774.0295958706047</x:v>
      </x:c>
      <x:c r="C11" t="str">
        <x:v>tCO2e/yr</x:v>
      </x:c>
    </x:row>
    <x:row r="12">
      <x:c r="A12" t="str">
        <x:v>Manure methane reduction</x:v>
      </x:c>
      <x:c r="B12" t="n">
        <x:v>0.7743985049228352</x:v>
      </x:c>
      <x:c r="C12" t="str">
        <x:v>fraction</x:v>
      </x:c>
    </x:row>
    <x:row r="13">
      <x:c r="A13" t="str">
        <x:v>Biomethane produced</x:v>
      </x:c>
      <x:c r="B13" t="n">
        <x:v>30.3048795347087</x:v>
      </x:c>
      <x:c r="C13" t="str">
        <x:v>GWh/yr</x:v>
      </x:c>
    </x:row>
    <x:row r="14">
      <x:c r="A14" t="str">
        <x:v>Biomethane to cooking</x:v>
      </x:c>
      <x:c r="B14" t="n">
        <x:v>9.996666666666666</x:v>
      </x:c>
      <x:c r="C14" t="str">
        <x:v>GWh/yr</x:v>
      </x:c>
    </x:row>
    <x:row r="15">
      <x:c r="A15" t="str">
        <x:v>Biomethane to farm machinery</x:v>
      </x:c>
      <x:c r="B15" t="n">
        <x:v>6.50673002105779</x:v>
      </x:c>
      <x:c r="C15" t="str">
        <x:v>GWh/yr</x:v>
      </x:c>
    </x:row>
    <x:row r="16">
      <x:c r="A16" t="str">
        <x:v>Biomethane to off-network heating</x:v>
      </x:c>
      <x:c r="B16" t="n">
        <x:v>13.801482846984243</x:v>
      </x:c>
      <x:c r="C16" t="str">
        <x:v>GWh/yr</x:v>
      </x:c>
    </x:row>
    <x:row r="17">
      <x:c r="A17" t="str">
        <x:v>Renewable heating oil/diesel to off-network heating</x:v>
      </x:c>
      <x:c r="B17" t="n">
        <x:v>7.981018162016685</x:v>
      </x:c>
      <x:c r="C17" t="str">
        <x:v>GWh/yr</x:v>
      </x:c>
    </x:row>
    <x:row r="18">
      <x:c r="A18" t="str">
        <x:v>Renewable diesel to farm machinery</x:v>
      </x:c>
      <x:c r="B18" t="n">
        <x:v>15.182370049134843</x:v>
      </x:c>
      <x:c r="C18" t="str">
        <x:v>GWh/yr</x:v>
      </x:c>
    </x:row>
    <x:row r="19">
      <x:c r="A19" t="str">
        <x:v>Predefined five-sector directly addressable energy-service reduction</x:v>
      </x:c>
      <x:c r="B19" t="n">
        <x:v>0.9588301073203995</x:v>
      </x:c>
      <x:c r="C19" t="str">
        <x:v>fraction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16" t="str">
        <x:v>From</x:v>
      </x:c>
      <x:c r="B1" s="16" t="str">
        <x:v>To</x:v>
      </x:c>
      <x:c r="C1" s="16" t="str">
        <x:v>Straight km</x:v>
      </x:c>
      <x:c r="D1" s="16" t="str">
        <x:v>Route km</x:v>
      </x:c>
      <x:c r="E1" s="16" t="str">
        <x:v>One-way µs</x:v>
      </x:c>
    </x:row>
    <x:row r="2">
      <x:c r="A2" t="str">
        <x:v>Cella</x:v>
      </x:c>
      <x:c r="B2" t="str">
        <x:v>Villarquemado</x:v>
      </x:c>
      <x:c r="C2" s="22" t="n">
        <x:v>7.641232799256171</x:v>
      </x:c>
      <x:c r="D2" s="22" t="n">
        <x:v>9.551540999070214</x:v>
      </x:c>
      <x:c r="E2" s="22" t="n">
        <x:v>47.75770499535107</x:v>
      </x:c>
    </x:row>
    <x:row r="3">
      <x:c r="A3" t="str">
        <x:v>Villarquemado</x:v>
      </x:c>
      <x:c r="B3" t="str">
        <x:v>Santa Eulalia del Campo</x:v>
      </x:c>
      <x:c r="C3" s="22" t="n">
        <x:v>6.8460828404616265</x:v>
      </x:c>
      <x:c r="D3" s="22" t="n">
        <x:v>8.557603550577033</x:v>
      </x:c>
      <x:c r="E3" s="22" t="n">
        <x:v>42.78801775288517</x:v>
      </x:c>
    </x:row>
    <x:row r="4">
      <x:c r="A4" t="str">
        <x:v>Santa Eulalia del Campo</x:v>
      </x:c>
      <x:c r="B4" t="str">
        <x:v>Torremocha–Torrelacárcel–Alba (shared node)</x:v>
      </x:c>
      <x:c r="C4" s="22" t="n">
        <x:v>3.1214883174410746</x:v>
      </x:c>
      <x:c r="D4" s="22" t="n">
        <x:v>3.901860396801343</x:v>
      </x:c>
      <x:c r="E4" s="22" t="n">
        <x:v>19.509301984006715</x:v>
      </x:c>
    </x:row>
    <x:row r="5">
      <x:c r="A5" t="str">
        <x:v>Torremocha–Torrelacárcel–Alba (shared node)</x:v>
      </x:c>
      <x:c r="B5" t="str">
        <x:v>Singra (prototype)</x:v>
      </x:c>
      <x:c r="C5" s="22" t="n">
        <x:v>7.349797626246048</x:v>
      </x:c>
      <x:c r="D5" s="22" t="n">
        <x:v>9.187247032807559</x:v>
      </x:c>
      <x:c r="E5" s="22" t="n">
        <x:v>45.9362351640378</x:v>
      </x:c>
    </x:row>
    <x:row r="6">
      <x:c r="A6" t="str">
        <x:v>Singra (prototype)</x:v>
      </x:c>
      <x:c r="B6" t="str">
        <x:v>Villafranca del Campo</x:v>
      </x:c>
      <x:c r="C6" s="22" t="n">
        <x:v>5.166399853017874</x:v>
      </x:c>
      <x:c r="D6" s="22" t="n">
        <x:v>6.457999816272343</x:v>
      </x:c>
      <x:c r="E6" s="22" t="n">
        <x:v>32.289999081361714</x:v>
      </x:c>
    </x:row>
    <x:row r="7">
      <x:c r="A7" t="str">
        <x:v>Villafranca del Campo</x:v>
      </x:c>
      <x:c r="B7" t="str">
        <x:v>Monreal del Campo</x:v>
      </x:c>
      <x:c r="C7" s="22" t="n">
        <x:v>10.613159346111745</x:v>
      </x:c>
      <x:c r="D7" s="22" t="n">
        <x:v>13.26644918263968</x:v>
      </x:c>
      <x:c r="E7" s="22" t="n">
        <x:v>66.3322459131984</x:v>
      </x:c>
    </x:row>
    <x:row r="8">
      <x:c r="A8" t="str">
        <x:v>Monreal del Campo</x:v>
      </x:c>
      <x:c r="B8" t="str">
        <x:v>Torrijo del Campo</x:v>
      </x:c>
      <x:c r="C8" s="22" t="n">
        <x:v>4.172187198100554</x:v>
      </x:c>
      <x:c r="D8" s="22" t="n">
        <x:v>5.215233997625692</x:v>
      </x:c>
      <x:c r="E8" s="22" t="n">
        <x:v>26.07616998812846</x:v>
      </x:c>
    </x:row>
    <x:row r="9">
      <x:c r="A9" t="str">
        <x:v>Torrijo del Campo</x:v>
      </x:c>
      <x:c r="B9" t="str">
        <x:v>Caminreal</x:v>
      </x:c>
      <x:c r="C9" s="22" t="n">
        <x:v>2.079201621496599</x:v>
      </x:c>
      <x:c r="D9" s="22" t="n">
        <x:v>2.5990020268707488</x:v>
      </x:c>
      <x:c r="E9" s="22" t="n">
        <x:v>12.995010134353745</x:v>
      </x:c>
    </x:row>
    <x:row r="10">
      <x:c r="A10" t="str">
        <x:v>Caminreal</x:v>
      </x:c>
      <x:c r="B10" t="str">
        <x:v>Fuentes Claras</x:v>
      </x:c>
      <x:c r="C10" s="22" t="n">
        <x:v>2.789679388839966</x:v>
      </x:c>
      <x:c r="D10" s="22" t="n">
        <x:v>3.4870992360499575</x:v>
      </x:c>
      <x:c r="E10" s="22" t="n">
        <x:v>17.43549618024979</x:v>
      </x:c>
    </x:row>
    <x:row r="11">
      <x:c r="A11" t="str">
        <x:v>Fuentes Claras</x:v>
      </x:c>
      <x:c r="B11" t="str">
        <x:v>Calamocha</x:v>
      </x:c>
      <x:c r="C11" s="22" t="n">
        <x:v>6.224471785126938</x:v>
      </x:c>
      <x:c r="D11" s="22" t="n">
        <x:v>7.780589731408672</x:v>
      </x:c>
      <x:c r="E11" s="22" t="n">
        <x:v>38.90294865704336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12" hidden="0" customWidth="1"/>
  </x:cols>
  <x:sheetData>
    <x:row r="1">
      <x:c r="A1" s="16" t="str">
        <x:v>Topic</x:v>
      </x:c>
      <x:c r="B1" s="16" t="str">
        <x:v>Source / note</x:v>
      </x:c>
    </x:row>
    <x:row r="2">
      <x:c r="A2" t="str">
        <x:v>Managed-manure methane</x:v>
      </x:c>
      <x:c r="B2" t="str">
        <x:v>IPCC 2019 Refinement, Vol. 4 Ch. 10, Table 10.14. https://www.ipcc-nggip.iges.or.jp/public/2019rf/pdf/4_Volume4/19R_V4_Ch10_Livestock.pdf</x:v>
      </x:c>
    </x:row>
    <x:row r="3">
      <x:c r="A3" t="str">
        <x:v>Biomethane-chain methane loss</x:v>
      </x:c>
      <x:c r="B3" t="str">
        <x:v>Central 3% downstream loss; sensitivity 1–6%. Olczak et al., Communications Sustainability 1, 88 (2026), DOI 10.1038/s44458-026-00065-3; Bakkaloglu et al., One Earth 5, 724–736 (2022).</x:v>
      </x:c>
    </x:row>
    <x:row r="4">
      <x:c r="A4" t="str">
        <x:v>Road-freight emission factor</x:v>
      </x:c>
      <x:c r="B4" t="str">
        <x:v>Smart Freight Centre, GLEC Framework v3 (updated 2024), Table 8. Model uses 0.09 kgCO2e/t-km as a rounded European articulated-road-freight screen. https://smartfreightcentre.org/page/glec</x:v>
      </x:c>
    </x:row>
    <x:row r="5">
      <x:c r="A5" t="str">
        <x:v>Grid electricity</x:v>
      </x:c>
      <x:c r="B5" t="str">
        <x:v>MITECO carbon-footprint registry for the market-based household reference; Red Eléctrica 2025 system reporting for the location-based screen. https://www.ree.es/es/datos/publicaciones/noticias-aldia/informes-sistemas-electrico-2025</x:v>
      </x:c>
    </x:row>
    <x:row r="6">
      <x:c r="A6" t="str">
        <x:v>EU data-centre heat reuse</x:v>
      </x:c>
      <x:c r="B6" t="str">
        <x:v>Directive (EU) 2023/1791, Article 26; Commission Delegated Regulation (EU) 2024/1364.</x:v>
      </x:c>
    </x:row>
    <x:row r="7">
      <x:c r="A7" t="str">
        <x:v>Enteric methane additive</x:v>
      </x:c>
      <x:c r="B7" t="str">
        <x:v>Regulation (EU) 2022/565 authorizes 3-NOP for dairy cows and cows for reproduction; central model takes no additive credit.</x:v>
      </x:c>
    </x:row>
    <x:row r="8">
      <x:c r="A8" t="str">
        <x:v>Livestock counts</x:v>
      </x:c>
      <x:c r="B8" t="str">
        <x:v>Area-scaled 2009 comarca screen; must be replaced by municipal REGA records before empirical baseline registration.</x:v>
      </x:c>
    </x:row>
    <x:row r="9">
      <x:c r="A9" t="str">
        <x:v>Winter peak</x:v>
      </x:c>
      <x:c r="B9" t="str">
        <x:v>Annual carbon model does not resolve dispatch; Document S1 Note S2 provides only an illustrative full-load-hour screen.</x:v>
      </x:c>
    </x:row>
  </x:sheetData>
  <x:pageMargins left="0.7" right="0.7" top="0.75" bottom="0.75" header="0.3" footer="0.3"/>
</x:worksheet>
</file>